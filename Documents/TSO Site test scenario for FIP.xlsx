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zhengkhoon.chai\Downloads\JP project\"/>
    </mc:Choice>
  </mc:AlternateContent>
  <xr:revisionPtr revIDLastSave="0" documentId="13_ncr:1_{07202BD1-619E-47E0-8DD8-B1569B76184E}" xr6:coauthVersionLast="47" xr6:coauthVersionMax="47" xr10:uidLastSave="{00000000-0000-0000-0000-000000000000}"/>
  <bookViews>
    <workbookView xWindow="-110" yWindow="-110" windowWidth="19420" windowHeight="11500" firstSheet="1" activeTab="2" xr2:uid="{00000000-000D-0000-FFFF-FFFF00000000}"/>
  </bookViews>
  <sheets>
    <sheet name="前提" sheetId="3" state="hidden" r:id="rId1"/>
    <sheet name="Test List" sheetId="14" r:id="rId2"/>
    <sheet name="summary" sheetId="5" r:id="rId3"/>
    <sheet name="→not translation" sheetId="17" r:id="rId4"/>
    <sheet name="③通信" sheetId="2" r:id="rId5"/>
    <sheet name="④制御" sheetId="6" r:id="rId6"/>
    <sheet name="①再エネ" sheetId="9" r:id="rId7"/>
    <sheet name="①再エネ蓄電" sheetId="13" r:id="rId8"/>
    <sheet name="②系統充電" sheetId="16" r:id="rId9"/>
    <sheet name="⑤RPR" sheetId="7" r:id="rId10"/>
  </sheets>
  <definedNames>
    <definedName name="_xlnm.Print_Area" localSheetId="6">①再エネ!$A$1:$M$52</definedName>
    <definedName name="_xlnm.Print_Area" localSheetId="7">①再エネ蓄電!$A$1:$L$52</definedName>
    <definedName name="_xlnm.Print_Area" localSheetId="8">②系統充電!$A$1:$L$47</definedName>
    <definedName name="_xlnm.Print_Area" localSheetId="4">③通信!$A$1:$L$50</definedName>
    <definedName name="_xlnm.Print_Area" localSheetId="5">④制御!$A$1:$L$46</definedName>
    <definedName name="_xlnm.Print_Area" localSheetId="9">⑤RPR!$A$1:$L$49</definedName>
    <definedName name="_xlnm.Print_Area" localSheetId="1">'Test List'!$A$1:$H$11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6" l="1"/>
  <c r="D38" i="16"/>
  <c r="D34" i="16"/>
  <c r="D39" i="16"/>
  <c r="D37" i="16"/>
  <c r="D36" i="16"/>
  <c r="D35" i="16"/>
  <c r="D40" i="7"/>
  <c r="D41" i="7" l="1"/>
  <c r="D49" i="13" l="1"/>
  <c r="D48" i="13"/>
  <c r="D47" i="13"/>
  <c r="D46" i="13"/>
  <c r="D45" i="13"/>
  <c r="D44" i="13"/>
  <c r="D43" i="13"/>
  <c r="D42" i="13"/>
  <c r="D41" i="13"/>
  <c r="D40" i="13"/>
  <c r="D39" i="13"/>
  <c r="D38" i="13"/>
  <c r="D37" i="13"/>
  <c r="D36" i="13"/>
  <c r="D35" i="13"/>
  <c r="D34" i="13"/>
  <c r="E49" i="9"/>
  <c r="E48" i="9"/>
  <c r="E47" i="9"/>
  <c r="E46" i="9"/>
  <c r="E45" i="9"/>
  <c r="E44" i="9"/>
  <c r="E43" i="9"/>
  <c r="E42" i="9"/>
  <c r="E39" i="9"/>
  <c r="E41" i="9" l="1"/>
  <c r="E40" i="9"/>
  <c r="E37" i="9"/>
  <c r="E38" i="9" l="1"/>
  <c r="E36" i="9"/>
  <c r="E35" i="9"/>
  <c r="D39" i="7"/>
  <c r="D36" i="7"/>
  <c r="D35" i="7"/>
  <c r="D34" i="7"/>
  <c r="D37" i="7"/>
  <c r="D38" i="7"/>
  <c r="D33" i="7"/>
</calcChain>
</file>

<file path=xl/sharedStrings.xml><?xml version="1.0" encoding="utf-8"?>
<sst xmlns="http://schemas.openxmlformats.org/spreadsheetml/2006/main" count="628" uniqueCount="218">
  <si>
    <t>前提</t>
    <phoneticPr fontId="2"/>
  </si>
  <si>
    <t>◆逆潮流防止精度は，検出レベル（定格出力の＋５％または＋150Ｗの大きい方），検出時限（5 分以内）とすること。</t>
    <phoneticPr fontId="2"/>
  </si>
  <si>
    <t>◆出力制御0％の場合</t>
    <phoneticPr fontId="2"/>
  </si>
  <si>
    <t>① 余剰買取では，連系点の逆潮流をゼロ（自家消費＝発電出力等）とする制御，もしくは発電出力等を0％とする制御</t>
    <phoneticPr fontId="2"/>
  </si>
  <si>
    <t>② 全量買取では，出力制御（0％）では発電出力等を0％とする制御</t>
    <phoneticPr fontId="2"/>
  </si>
  <si>
    <t>◆PCS 等定格出力の100→0％出力（0→100％出力）までの出力変化時間を，10 分の間で1 分単位で調整可能とすること</t>
    <phoneticPr fontId="2"/>
  </si>
  <si>
    <t>　（誤差は±５％（常温））。変化率は，「100％/（5～10 分）」一定とすること。</t>
    <phoneticPr fontId="2"/>
  </si>
  <si>
    <t>Kyushu Electric Power Co., Ltd.</t>
  </si>
  <si>
    <t>Technical specifications for cases where a battery is installed alongside a renewable energy power source</t>
  </si>
  <si>
    <t>Item No.</t>
  </si>
  <si>
    <t>Technical Specifications</t>
  </si>
  <si>
    <t>Items to be confirmed / Check point</t>
  </si>
  <si>
    <t>Submitted data</t>
  </si>
  <si>
    <t>Test method *1, *2</t>
  </si>
  <si>
    <t>Pass criteria</t>
  </si>
  <si>
    <t>Remarks</t>
  </si>
  <si>
    <t>1</t>
  </si>
  <si>
    <t>[Technical Specifications (1) and (3)] Assurance against the output control command value</t>
  </si>
  <si>
    <t>If the reverse power flow from the power plant to the grid exceeds the output control command value,
the renewable energy PCS and battery PCS will shut down within 5 minutes.</t>
  </si>
  <si>
    <t>Data showing the interconnection point power, renewable energy generation power, and battery charging power relative to the output control command value at the time of deviation, for the cases of "renewable energy generation only" and "renewable energy generation + battery".</t>
  </si>
  <si>
    <t>&lt;Onamba&gt;
Send a 10% command to the pseudo power server.
Send a 20% command to the pseudo power server.
&lt;Univers software support&gt;
◆ Case: "Renewable generation only" *No need to stop the PCS on site
・Storage PCS in standby state (no charge/discharge command executed)
・Control rate 10% command -&gt; turn OFF the control functions of the three PCS units (modify the point file) -&gt; stop function enabled -&gt; 5 minutes elapse -&gt; PCS stops
・Control rate 20% command -&gt; turn OFF the control functions of the three PCS units (modify the point file) -&gt; stop function enabled -&gt; 5 minutes elapse -&gt; PCS stops
◆ Case: "Renewable generation + storage battery" *No need to stop the PCS on site
・Storage PCS in discharge state (Univers instruction: discharge 30% (450 kW))
・Control rate 10% (150 kW) command -&gt; turn OFF the control functions of the five PCS units (625 kW) (modify the point file) -&gt; stop function enabled -&gt; 5 minutes elapse -&gt; PCS stops *It is sufficient if 1075 kW is output and the PCS and storage PCS stop
・Control rate 20% commandCommand -&gt; Set the PCS control function for 5 units (625 kW) to OFF (revise the point file) -&gt; stop function enabled -&gt; after 5 minutes -&gt; PCS stops
※ It is sufficient if 1,075 kW is output and the PCS and battery PCS stop.</t>
  </si>
  <si>
    <t>When the 5-minute average is exceeded
Execute the control command value on the emulator</t>
  </si>
  <si>
    <t>②</t>
    <phoneticPr fontId="10"/>
  </si>
  <si>
    <t>Upgrade for entire file translation at doc2lang.com</t>
  </si>
  <si>
    <t>①再エネ</t>
    <rPh sb="1" eb="2">
      <t>サイ</t>
    </rPh>
    <phoneticPr fontId="2"/>
  </si>
  <si>
    <t>開始前</t>
    <rPh sb="0" eb="3">
      <t>カイシマエ</t>
    </rPh>
    <phoneticPr fontId="2"/>
  </si>
  <si>
    <t>STEP1</t>
    <phoneticPr fontId="2"/>
  </si>
  <si>
    <t>STEP2</t>
    <phoneticPr fontId="2"/>
  </si>
  <si>
    <t>STEP3</t>
  </si>
  <si>
    <t>STEP4</t>
  </si>
  <si>
    <t>STEP5</t>
  </si>
  <si>
    <t>電力サーバー</t>
    <rPh sb="0" eb="2">
      <t>デンリョク</t>
    </rPh>
    <phoneticPr fontId="2"/>
  </si>
  <si>
    <t>PV PCS</t>
    <phoneticPr fontId="2"/>
  </si>
  <si>
    <t>発電</t>
    <rPh sb="0" eb="2">
      <t>ハツデン</t>
    </rPh>
    <phoneticPr fontId="2"/>
  </si>
  <si>
    <t>停止</t>
    <rPh sb="0" eb="2">
      <t>テイシ</t>
    </rPh>
    <phoneticPr fontId="2"/>
  </si>
  <si>
    <t>蓄電PCS</t>
    <rPh sb="0" eb="2">
      <t>チクデン</t>
    </rPh>
    <phoneticPr fontId="2"/>
  </si>
  <si>
    <t>充放電</t>
    <rPh sb="0" eb="3">
      <t>ジュウホウデン</t>
    </rPh>
    <phoneticPr fontId="2"/>
  </si>
  <si>
    <t>停止or充電</t>
    <rPh sb="0" eb="2">
      <t>テイシ</t>
    </rPh>
    <rPh sb="4" eb="6">
      <t>ジュウデン</t>
    </rPh>
    <phoneticPr fontId="2"/>
  </si>
  <si>
    <t>電力メーター</t>
    <rPh sb="0" eb="2">
      <t>デンリョク</t>
    </rPh>
    <phoneticPr fontId="2"/>
  </si>
  <si>
    <t>日射相応</t>
    <rPh sb="0" eb="4">
      <t>ニッシャソウオウ</t>
    </rPh>
    <phoneticPr fontId="2"/>
  </si>
  <si>
    <t>10%相当</t>
    <rPh sb="3" eb="5">
      <t>ソウトウ</t>
    </rPh>
    <phoneticPr fontId="2"/>
  </si>
  <si>
    <t>0kW</t>
    <phoneticPr fontId="2"/>
  </si>
  <si>
    <t>20%相当</t>
    <rPh sb="3" eb="5">
      <t>ソウトウ</t>
    </rPh>
    <phoneticPr fontId="2"/>
  </si>
  <si>
    <t>PCS制御ソフト</t>
    <rPh sb="3" eb="5">
      <t>セイギョ</t>
    </rPh>
    <phoneticPr fontId="2"/>
  </si>
  <si>
    <t>―</t>
    <phoneticPr fontId="2"/>
  </si>
  <si>
    <t>1台制御OFF</t>
    <rPh sb="1" eb="2">
      <t>ダイ</t>
    </rPh>
    <rPh sb="2" eb="4">
      <t>セイギョ</t>
    </rPh>
    <phoneticPr fontId="2"/>
  </si>
  <si>
    <t>：試験による操作が必要</t>
    <rPh sb="1" eb="3">
      <t>シケン</t>
    </rPh>
    <rPh sb="6" eb="8">
      <t>ソウサ</t>
    </rPh>
    <rPh sb="9" eb="11">
      <t>ヒツヨウ</t>
    </rPh>
    <phoneticPr fontId="2"/>
  </si>
  <si>
    <t>：操作による自動的な状態変化</t>
    <rPh sb="1" eb="3">
      <t>ソウサ</t>
    </rPh>
    <rPh sb="6" eb="8">
      <t>ジドウ</t>
    </rPh>
    <rPh sb="8" eb="9">
      <t>テキ</t>
    </rPh>
    <rPh sb="10" eb="12">
      <t>ジョウタイ</t>
    </rPh>
    <rPh sb="12" eb="14">
      <t>ヘンカ</t>
    </rPh>
    <phoneticPr fontId="2"/>
  </si>
  <si>
    <t>：数値、状態 確認項目</t>
    <rPh sb="1" eb="3">
      <t>スウチ</t>
    </rPh>
    <rPh sb="4" eb="6">
      <t>ジョウタイ</t>
    </rPh>
    <rPh sb="7" eb="9">
      <t>カクニン</t>
    </rPh>
    <rPh sb="9" eb="11">
      <t>コウモク</t>
    </rPh>
    <phoneticPr fontId="2"/>
  </si>
  <si>
    <t>①再エネ蓄電</t>
    <rPh sb="1" eb="2">
      <t>サイ</t>
    </rPh>
    <rPh sb="4" eb="6">
      <t>チクデン</t>
    </rPh>
    <phoneticPr fontId="2"/>
  </si>
  <si>
    <t>アグリゲータ</t>
    <phoneticPr fontId="2"/>
  </si>
  <si>
    <t>100%放電</t>
    <rPh sb="4" eb="6">
      <t>ホウデン</t>
    </rPh>
    <phoneticPr fontId="2"/>
  </si>
  <si>
    <t>②【技術仕様（２）（３）】＜2024年度以降新規認定FIPおよび非FITは任意＞蓄電池充電電力が再エネ由来であることの担保</t>
    <rPh sb="2" eb="4">
      <t>ギジュツ</t>
    </rPh>
    <rPh sb="4" eb="6">
      <t>シヨウ</t>
    </rPh>
    <rPh sb="18" eb="20">
      <t>ネンド</t>
    </rPh>
    <rPh sb="20" eb="22">
      <t>イコウ</t>
    </rPh>
    <rPh sb="22" eb="24">
      <t>シンキ</t>
    </rPh>
    <rPh sb="24" eb="26">
      <t>ニンテイ</t>
    </rPh>
    <rPh sb="32" eb="33">
      <t>ヒ</t>
    </rPh>
    <rPh sb="37" eb="39">
      <t>ニンイ</t>
    </rPh>
    <rPh sb="40" eb="43">
      <t>チクデンチ</t>
    </rPh>
    <rPh sb="43" eb="45">
      <t>ジュウデン</t>
    </rPh>
    <rPh sb="45" eb="47">
      <t>デンリョク</t>
    </rPh>
    <rPh sb="48" eb="49">
      <t>サイ</t>
    </rPh>
    <rPh sb="51" eb="53">
      <t>ユライ</t>
    </rPh>
    <rPh sb="59" eb="61">
      <t>タンポ</t>
    </rPh>
    <phoneticPr fontId="2"/>
  </si>
  <si>
    <t>発電</t>
  </si>
  <si>
    <t>110kW充電</t>
    <phoneticPr fontId="2"/>
  </si>
  <si>
    <t>110kW充電</t>
  </si>
  <si>
    <t>設定変更</t>
    <rPh sb="0" eb="4">
      <t>セッテイヘンコウ</t>
    </rPh>
    <phoneticPr fontId="2"/>
  </si>
  <si>
    <t>100%充電</t>
    <rPh sb="4" eb="6">
      <t>ジュウデン</t>
    </rPh>
    <phoneticPr fontId="2"/>
  </si>
  <si>
    <t>③6.4　【技術仕様（４）】通信異常に対する応答性</t>
    <rPh sb="6" eb="8">
      <t>ギジュツ</t>
    </rPh>
    <rPh sb="8" eb="10">
      <t>シヨウ</t>
    </rPh>
    <rPh sb="14" eb="16">
      <t>ツウシン</t>
    </rPh>
    <rPh sb="16" eb="18">
      <t>イジョウ</t>
    </rPh>
    <rPh sb="19" eb="20">
      <t>タイ</t>
    </rPh>
    <rPh sb="22" eb="24">
      <t>オウトウ</t>
    </rPh>
    <rPh sb="24" eb="25">
      <t>セイ</t>
    </rPh>
    <phoneticPr fontId="2"/>
  </si>
  <si>
    <t>STEP3</t>
    <phoneticPr fontId="2"/>
  </si>
  <si>
    <t>STEP4</t>
    <phoneticPr fontId="2"/>
  </si>
  <si>
    <t>STEP5</t>
    <phoneticPr fontId="2"/>
  </si>
  <si>
    <t>STEP6</t>
    <phoneticPr fontId="2"/>
  </si>
  <si>
    <t>充電</t>
    <rPh sb="0" eb="2">
      <t>ジュウデン</t>
    </rPh>
    <phoneticPr fontId="2"/>
  </si>
  <si>
    <t>LAN-ルーター</t>
    <phoneticPr fontId="2"/>
  </si>
  <si>
    <t>接続</t>
    <rPh sb="0" eb="2">
      <t>セツゾク</t>
    </rPh>
    <phoneticPr fontId="2"/>
  </si>
  <si>
    <t>離線</t>
    <rPh sb="0" eb="2">
      <t>リセン</t>
    </rPh>
    <phoneticPr fontId="2"/>
  </si>
  <si>
    <t>LAN-PV PCS</t>
    <phoneticPr fontId="2"/>
  </si>
  <si>
    <t>LAN-蓄電PCS</t>
    <rPh sb="4" eb="6">
      <t>チクデン</t>
    </rPh>
    <phoneticPr fontId="2"/>
  </si>
  <si>
    <t>④【技術仕様（１）（５）】制御目標値に対する制御精度</t>
    <phoneticPr fontId="2"/>
  </si>
  <si>
    <t>発電、抑制</t>
    <rPh sb="0" eb="2">
      <t>ハツデン</t>
    </rPh>
    <rPh sb="3" eb="5">
      <t>ヨクセイ</t>
    </rPh>
    <phoneticPr fontId="2"/>
  </si>
  <si>
    <t>日射相応</t>
    <phoneticPr fontId="2"/>
  </si>
  <si>
    <t>30%相当</t>
    <rPh sb="3" eb="5">
      <t>ソウトウ</t>
    </rPh>
    <phoneticPr fontId="2"/>
  </si>
  <si>
    <t>60%相当</t>
    <rPh sb="3" eb="5">
      <t>ソウトウ</t>
    </rPh>
    <phoneticPr fontId="2"/>
  </si>
  <si>
    <t>⑤【技術仕様（６）】契約容量制御に対する制御精度</t>
    <phoneticPr fontId="2"/>
  </si>
  <si>
    <t>起動→停止</t>
    <rPh sb="0" eb="2">
      <t>キドウ</t>
    </rPh>
    <rPh sb="3" eb="5">
      <t>テイシ</t>
    </rPh>
    <phoneticPr fontId="2"/>
  </si>
  <si>
    <t>放電90%</t>
    <rPh sb="0" eb="2">
      <t>ホウデン</t>
    </rPh>
    <phoneticPr fontId="2"/>
  </si>
  <si>
    <t>90%相当</t>
    <rPh sb="3" eb="5">
      <t>ソウトウ</t>
    </rPh>
    <phoneticPr fontId="2"/>
  </si>
  <si>
    <t>蓄電PCS制御</t>
    <rPh sb="0" eb="2">
      <t>チクデン</t>
    </rPh>
    <rPh sb="5" eb="7">
      <t>セイギョ</t>
    </rPh>
    <phoneticPr fontId="2"/>
  </si>
  <si>
    <t>放電100%</t>
    <rPh sb="0" eb="2">
      <t>ホウデン</t>
    </rPh>
    <phoneticPr fontId="2"/>
  </si>
  <si>
    <t>放電指示解除</t>
    <rPh sb="0" eb="2">
      <t>ホウデン</t>
    </rPh>
    <rPh sb="2" eb="4">
      <t>シジ</t>
    </rPh>
    <rPh sb="4" eb="6">
      <t>カイジョ</t>
    </rPh>
    <phoneticPr fontId="2"/>
  </si>
  <si>
    <t>③【技術仕様（４）】通信異常に対する応答性</t>
    <phoneticPr fontId="2"/>
  </si>
  <si>
    <t>4/6試験</t>
    <rPh sb="3" eb="5">
      <t>シケン</t>
    </rPh>
    <phoneticPr fontId="2"/>
  </si>
  <si>
    <t>内容</t>
    <rPh sb="0" eb="2">
      <t>ナイヨウ</t>
    </rPh>
    <phoneticPr fontId="2"/>
  </si>
  <si>
    <t>PCS(広義)と上位系統の間で通信異常が発生した場合は、故障前の最新の出力制御スケジュールにより出力制御を実施すること。</t>
    <phoneticPr fontId="2"/>
  </si>
  <si>
    <t>PCS(広義)の内部通信異常が発生した場合は、再エネ・蓄電池ともに発電及び充放電を停止すること</t>
    <phoneticPr fontId="2"/>
  </si>
  <si>
    <t>目安試験時間：1h</t>
    <rPh sb="0" eb="2">
      <t>メヤス</t>
    </rPh>
    <rPh sb="4" eb="6">
      <t>ジカン</t>
    </rPh>
    <phoneticPr fontId="2"/>
  </si>
  <si>
    <t>条件</t>
    <rPh sb="0" eb="2">
      <t>ジョウケン</t>
    </rPh>
    <phoneticPr fontId="2"/>
  </si>
  <si>
    <t>蓄電池が充放電可能であること（目安：SOC 50%付近）</t>
    <rPh sb="0" eb="3">
      <t>チクデンチ</t>
    </rPh>
    <rPh sb="4" eb="7">
      <t>ジュウホウデン</t>
    </rPh>
    <rPh sb="7" eb="9">
      <t>カノウ</t>
    </rPh>
    <rPh sb="15" eb="17">
      <t>メヤス</t>
    </rPh>
    <rPh sb="25" eb="27">
      <t>フキン</t>
    </rPh>
    <phoneticPr fontId="2"/>
  </si>
  <si>
    <t>PV PCSが発電可能な状態であること（日中）</t>
    <rPh sb="7" eb="9">
      <t>ハツデン</t>
    </rPh>
    <rPh sb="9" eb="11">
      <t>カノウ</t>
    </rPh>
    <rPh sb="12" eb="14">
      <t>ジョウタイ</t>
    </rPh>
    <rPh sb="20" eb="22">
      <t>ニッチュウ</t>
    </rPh>
    <phoneticPr fontId="2"/>
  </si>
  <si>
    <t>概要</t>
    <rPh sb="0" eb="2">
      <t>ガイヨウ</t>
    </rPh>
    <phoneticPr fontId="2"/>
  </si>
  <si>
    <t>・コマ替わり10分前に、給電指令～出力制御ユニット間（ルーター ⇔ EMS　HUB）のLANケーブルを離線。</t>
    <rPh sb="3" eb="4">
      <t>カ</t>
    </rPh>
    <rPh sb="8" eb="10">
      <t>フンマエ</t>
    </rPh>
    <rPh sb="51" eb="53">
      <t>リセン</t>
    </rPh>
    <phoneticPr fontId="2"/>
  </si>
  <si>
    <t>①ルーター側のLANケーブルを外す</t>
    <rPh sb="5" eb="6">
      <t>ガワ</t>
    </rPh>
    <rPh sb="15" eb="16">
      <t>ハズ</t>
    </rPh>
    <phoneticPr fontId="2"/>
  </si>
  <si>
    <t>　保存された出力制御スケジュールで動作すること。（基本100%）</t>
    <rPh sb="1" eb="3">
      <t>ホゾン</t>
    </rPh>
    <rPh sb="6" eb="8">
      <t>シュツリョク</t>
    </rPh>
    <rPh sb="8" eb="10">
      <t>セイギョ</t>
    </rPh>
    <rPh sb="17" eb="19">
      <t>ドウサ</t>
    </rPh>
    <rPh sb="25" eb="27">
      <t>キホン</t>
    </rPh>
    <phoneticPr fontId="2"/>
  </si>
  <si>
    <t>制御は全体の20％(400kw)で行う。</t>
    <rPh sb="0" eb="2">
      <t>セイギョ</t>
    </rPh>
    <rPh sb="3" eb="5">
      <t>ゼンタイ</t>
    </rPh>
    <rPh sb="17" eb="18">
      <t>オコナ</t>
    </rPh>
    <phoneticPr fontId="2"/>
  </si>
  <si>
    <t>・PVPCS ～ 出力制御ユニット間のLANケーブル（PV PCS ⇔ EMS　HUB）を離線。</t>
    <rPh sb="9" eb="13">
      <t>シュツリョクセイギョ</t>
    </rPh>
    <rPh sb="45" eb="47">
      <t>リセン</t>
    </rPh>
    <phoneticPr fontId="2"/>
  </si>
  <si>
    <t>スマートロガーとEMS間のLAｎを外す</t>
    <rPh sb="11" eb="12">
      <t>カン</t>
    </rPh>
    <rPh sb="17" eb="18">
      <t>ハズ</t>
    </rPh>
    <phoneticPr fontId="2"/>
  </si>
  <si>
    <t>　PCS側の機能で5分以内にPV PCSが停止することを確認。</t>
    <rPh sb="4" eb="5">
      <t>カワ</t>
    </rPh>
    <rPh sb="6" eb="8">
      <t>キノウ</t>
    </rPh>
    <rPh sb="10" eb="11">
      <t>フン</t>
    </rPh>
    <rPh sb="11" eb="13">
      <t>イナイ</t>
    </rPh>
    <rPh sb="21" eb="23">
      <t>テイシ</t>
    </rPh>
    <rPh sb="28" eb="30">
      <t>カクニン</t>
    </rPh>
    <phoneticPr fontId="2"/>
  </si>
  <si>
    <t>・蓄電PCS ～ 出力制御ユニット間のLANケーブル（蓄電PCS ⇔ EMS　HUB）を離線。</t>
    <rPh sb="1" eb="3">
      <t>チクデン</t>
    </rPh>
    <rPh sb="9" eb="13">
      <t>シュツリョクセイギョ</t>
    </rPh>
    <rPh sb="27" eb="29">
      <t>チクデン</t>
    </rPh>
    <rPh sb="44" eb="46">
      <t>リセン</t>
    </rPh>
    <phoneticPr fontId="2"/>
  </si>
  <si>
    <t>　PCS側の機能で5分以内に蓄電PCSが停止することを確認。</t>
    <rPh sb="4" eb="5">
      <t>カワ</t>
    </rPh>
    <rPh sb="6" eb="8">
      <t>キノウ</t>
    </rPh>
    <rPh sb="10" eb="11">
      <t>フン</t>
    </rPh>
    <rPh sb="11" eb="13">
      <t>イナイ</t>
    </rPh>
    <rPh sb="14" eb="16">
      <t>チクデン</t>
    </rPh>
    <rPh sb="20" eb="22">
      <t>テイシ</t>
    </rPh>
    <rPh sb="27" eb="29">
      <t>カクニン</t>
    </rPh>
    <phoneticPr fontId="2"/>
  </si>
  <si>
    <t>4/7試験</t>
    <rPh sb="3" eb="5">
      <t>シケン</t>
    </rPh>
    <phoneticPr fontId="2"/>
  </si>
  <si>
    <t>詳細</t>
    <rPh sb="0" eb="2">
      <t>ショウサイ</t>
    </rPh>
    <phoneticPr fontId="2"/>
  </si>
  <si>
    <t>No</t>
    <phoneticPr fontId="2"/>
  </si>
  <si>
    <t>時刻例</t>
    <rPh sb="0" eb="2">
      <t>ジコク</t>
    </rPh>
    <rPh sb="2" eb="3">
      <t>レイ</t>
    </rPh>
    <phoneticPr fontId="2"/>
  </si>
  <si>
    <t>確認、操作内容</t>
    <rPh sb="0" eb="2">
      <t>カクニン</t>
    </rPh>
    <rPh sb="3" eb="5">
      <t>ソウサ</t>
    </rPh>
    <rPh sb="5" eb="7">
      <t>ナイヨウ</t>
    </rPh>
    <phoneticPr fontId="2"/>
  </si>
  <si>
    <t>STEP</t>
    <phoneticPr fontId="2"/>
  </si>
  <si>
    <t>ONO</t>
    <phoneticPr fontId="2"/>
  </si>
  <si>
    <t>EPC、蓄電メーカー</t>
    <rPh sb="4" eb="6">
      <t>チクデン</t>
    </rPh>
    <phoneticPr fontId="2"/>
  </si>
  <si>
    <t>Univers</t>
    <phoneticPr fontId="2"/>
  </si>
  <si>
    <t>蓄電池SOC50%付近を確認
制御は9時30分のコマで10％にする</t>
    <rPh sb="19" eb="20">
      <t>ジ</t>
    </rPh>
    <rPh sb="22" eb="23">
      <t>フン</t>
    </rPh>
    <phoneticPr fontId="2"/>
  </si>
  <si>
    <t>蓄電池SOC50%付近を確認
制御は20％にする</t>
    <phoneticPr fontId="2"/>
  </si>
  <si>
    <t>SOC50% ±20%以内でない場合、
指令を出し50%に近づける</t>
    <rPh sb="11" eb="13">
      <t>イナイ</t>
    </rPh>
    <rPh sb="16" eb="18">
      <t>バアイ</t>
    </rPh>
    <rPh sb="20" eb="22">
      <t>シレイ</t>
    </rPh>
    <rPh sb="23" eb="24">
      <t>ダ</t>
    </rPh>
    <rPh sb="29" eb="30">
      <t>チカ</t>
    </rPh>
    <phoneticPr fontId="2"/>
  </si>
  <si>
    <t>MM</t>
    <phoneticPr fontId="2"/>
  </si>
  <si>
    <t>PCS1</t>
    <phoneticPr fontId="2"/>
  </si>
  <si>
    <t>PCS2</t>
    <phoneticPr fontId="2"/>
  </si>
  <si>
    <t>PCS3</t>
    <phoneticPr fontId="2"/>
  </si>
  <si>
    <t>蓄電PCS1</t>
    <rPh sb="0" eb="2">
      <t>チクデン</t>
    </rPh>
    <phoneticPr fontId="2"/>
  </si>
  <si>
    <t>蓄電PCS2</t>
    <rPh sb="0" eb="2">
      <t>チクデン</t>
    </rPh>
    <phoneticPr fontId="2"/>
  </si>
  <si>
    <t>蓄電PCS3</t>
    <rPh sb="0" eb="2">
      <t>チクデン</t>
    </rPh>
    <phoneticPr fontId="2"/>
  </si>
  <si>
    <t>給電指令～出力制御ユニット間の
LANケーブルを離線(ルーター側のLAN)</t>
    <rPh sb="0" eb="2">
      <t>キュウデン</t>
    </rPh>
    <rPh sb="2" eb="4">
      <t>シレイ</t>
    </rPh>
    <rPh sb="5" eb="7">
      <t>シュツリョク</t>
    </rPh>
    <rPh sb="7" eb="9">
      <t>セイギョ</t>
    </rPh>
    <rPh sb="13" eb="14">
      <t>カン</t>
    </rPh>
    <rPh sb="24" eb="26">
      <t>リセン</t>
    </rPh>
    <rPh sb="31" eb="32">
      <t>ガワ</t>
    </rPh>
    <phoneticPr fontId="2"/>
  </si>
  <si>
    <t>✓</t>
    <phoneticPr fontId="2"/>
  </si>
  <si>
    <t>給電指令～出力制御ユニット間の
LANケーブルを離線(ルーター側のLAN)</t>
    <phoneticPr fontId="2"/>
  </si>
  <si>
    <t>保存された出力制御スケジュールで
動作することを確認（※1）</t>
    <rPh sb="0" eb="2">
      <t>ホゾン</t>
    </rPh>
    <rPh sb="5" eb="7">
      <t>シュツリョク</t>
    </rPh>
    <rPh sb="7" eb="9">
      <t>セイギョ</t>
    </rPh>
    <rPh sb="17" eb="19">
      <t>ドウサ</t>
    </rPh>
    <rPh sb="24" eb="26">
      <t>カクニン</t>
    </rPh>
    <phoneticPr fontId="2"/>
  </si>
  <si>
    <t>出力制御を10％にする</t>
    <rPh sb="0" eb="4">
      <t>シュツリョクセイギョ</t>
    </rPh>
    <phoneticPr fontId="2"/>
  </si>
  <si>
    <t>蓄電池SOC50%付近を確認
制御は14時00分のコマ30％にする</t>
    <rPh sb="20" eb="21">
      <t>ジ</t>
    </rPh>
    <rPh sb="23" eb="24">
      <t>フン</t>
    </rPh>
    <phoneticPr fontId="2"/>
  </si>
  <si>
    <t>スマートロガー ～ 出力制御ユニット間の
LANケーブルを離線 PCS/蓄電PCS停止</t>
    <rPh sb="10" eb="12">
      <t>シュツリョク</t>
    </rPh>
    <rPh sb="12" eb="14">
      <t>セイギョ</t>
    </rPh>
    <rPh sb="18" eb="19">
      <t>カン</t>
    </rPh>
    <rPh sb="29" eb="31">
      <t>リセン</t>
    </rPh>
    <rPh sb="36" eb="38">
      <t>チクデン</t>
    </rPh>
    <rPh sb="41" eb="43">
      <t>テイシ</t>
    </rPh>
    <phoneticPr fontId="2"/>
  </si>
  <si>
    <t>5分以内にPV PCSが停止することを確認</t>
    <rPh sb="1" eb="2">
      <t>フン</t>
    </rPh>
    <rPh sb="2" eb="4">
      <t>イナイ</t>
    </rPh>
    <rPh sb="12" eb="14">
      <t>テイシ</t>
    </rPh>
    <rPh sb="19" eb="21">
      <t>カクニン</t>
    </rPh>
    <phoneticPr fontId="2"/>
  </si>
  <si>
    <t>PV PCS ～ 出力制御ユニット間の
LANケーブルを接続、PV PCS起動を確認</t>
    <rPh sb="9" eb="11">
      <t>シュツリョク</t>
    </rPh>
    <rPh sb="11" eb="13">
      <t>セイギョ</t>
    </rPh>
    <rPh sb="17" eb="18">
      <t>カン</t>
    </rPh>
    <rPh sb="28" eb="30">
      <t>セツゾク</t>
    </rPh>
    <rPh sb="37" eb="39">
      <t>キドウ</t>
    </rPh>
    <rPh sb="40" eb="42">
      <t>カクニン</t>
    </rPh>
    <phoneticPr fontId="2"/>
  </si>
  <si>
    <t>蓄電PCS ～ 出力制御ユニット間の
LANケーブルを離線</t>
    <rPh sb="0" eb="2">
      <t>チクデン</t>
    </rPh>
    <rPh sb="8" eb="10">
      <t>シュツリョク</t>
    </rPh>
    <rPh sb="10" eb="12">
      <t>セイギョ</t>
    </rPh>
    <rPh sb="16" eb="17">
      <t>カン</t>
    </rPh>
    <rPh sb="27" eb="29">
      <t>リセン</t>
    </rPh>
    <phoneticPr fontId="2"/>
  </si>
  <si>
    <t>5分以内に蓄電PCSが停止することを確認</t>
    <rPh sb="1" eb="2">
      <t>フン</t>
    </rPh>
    <rPh sb="2" eb="4">
      <t>イナイ</t>
    </rPh>
    <rPh sb="5" eb="7">
      <t>チクデン</t>
    </rPh>
    <rPh sb="11" eb="13">
      <t>テイシ</t>
    </rPh>
    <rPh sb="18" eb="20">
      <t>カクニン</t>
    </rPh>
    <phoneticPr fontId="2"/>
  </si>
  <si>
    <t>蓄電PCS ～ 出力制御ユニット間の
LANケーブルを接続、蓄電PCS起動を確認</t>
    <rPh sb="0" eb="2">
      <t>チクデン</t>
    </rPh>
    <rPh sb="8" eb="10">
      <t>シュツリョク</t>
    </rPh>
    <rPh sb="10" eb="12">
      <t>セイギョ</t>
    </rPh>
    <rPh sb="16" eb="17">
      <t>カン</t>
    </rPh>
    <rPh sb="27" eb="29">
      <t>セツゾク</t>
    </rPh>
    <rPh sb="30" eb="32">
      <t>チクデン</t>
    </rPh>
    <rPh sb="35" eb="37">
      <t>キドウ</t>
    </rPh>
    <rPh sb="38" eb="40">
      <t>カクニン</t>
    </rPh>
    <phoneticPr fontId="2"/>
  </si>
  <si>
    <t>※1：</t>
    <phoneticPr fontId="2"/>
  </si>
  <si>
    <t>DevPortal、AppPortalで連系点電力、PV PCS、蓄電PCS の値を確認</t>
    <rPh sb="20" eb="23">
      <t>レンケイテン</t>
    </rPh>
    <rPh sb="23" eb="25">
      <t>デンリョク</t>
    </rPh>
    <rPh sb="33" eb="35">
      <t>チクデン</t>
    </rPh>
    <rPh sb="40" eb="41">
      <t>アタイ</t>
    </rPh>
    <rPh sb="42" eb="44">
      <t>カクニン</t>
    </rPh>
    <phoneticPr fontId="2"/>
  </si>
  <si>
    <t>連系点電力メーターの表示値を確認、写真を撮影</t>
    <rPh sb="0" eb="3">
      <t>レンケイテン</t>
    </rPh>
    <rPh sb="3" eb="5">
      <t>デンリョク</t>
    </rPh>
    <rPh sb="10" eb="12">
      <t>ヒョウジ</t>
    </rPh>
    <rPh sb="12" eb="13">
      <t>チ</t>
    </rPh>
    <rPh sb="14" eb="16">
      <t>カクニン</t>
    </rPh>
    <rPh sb="17" eb="19">
      <t>シャシン</t>
    </rPh>
    <rPh sb="20" eb="22">
      <t>サツエイ</t>
    </rPh>
    <phoneticPr fontId="2"/>
  </si>
  <si>
    <t>③【技術仕様（１）（５）】制御目標値に対する制御精度</t>
    <phoneticPr fontId="2"/>
  </si>
  <si>
    <t>制御目標値に対して、制御誤差を定格出力の±５％の範囲内に制御できること</t>
  </si>
  <si>
    <t>目安試験時間：1.5h</t>
    <rPh sb="0" eb="2">
      <t>メヤス</t>
    </rPh>
    <rPh sb="4" eb="6">
      <t>ジカン</t>
    </rPh>
    <phoneticPr fontId="2"/>
  </si>
  <si>
    <t>疑似電力サーバーから3パターンの制御指示を入力。</t>
    <phoneticPr fontId="2"/>
  </si>
  <si>
    <t>・疑似電力サーバーから、30%の制御指示を入力。</t>
    <phoneticPr fontId="2"/>
  </si>
  <si>
    <t>・疑似電力サーバーから、20%の制御指示を入力。</t>
    <phoneticPr fontId="2"/>
  </si>
  <si>
    <t>・疑似電力サーバーから、10%の制御指示を入力。</t>
    <phoneticPr fontId="2"/>
  </si>
  <si>
    <t>※制御率は可変。天候状況から制御がかかる状態を見られる制御率を入力する。</t>
    <rPh sb="1" eb="4">
      <t>セイギョリツ</t>
    </rPh>
    <rPh sb="5" eb="7">
      <t>カヘン</t>
    </rPh>
    <rPh sb="8" eb="12">
      <t>テンコウジョウキョウ</t>
    </rPh>
    <rPh sb="14" eb="16">
      <t>セイギョ</t>
    </rPh>
    <rPh sb="20" eb="22">
      <t>ジョウタイ</t>
    </rPh>
    <rPh sb="23" eb="24">
      <t>ミ</t>
    </rPh>
    <rPh sb="27" eb="30">
      <t>セイギョリツ</t>
    </rPh>
    <rPh sb="31" eb="33">
      <t>ニュウリョク</t>
    </rPh>
    <phoneticPr fontId="2"/>
  </si>
  <si>
    <t>蓄電池SOC50%付近を確認</t>
    <rPh sb="9" eb="11">
      <t>フキン</t>
    </rPh>
    <phoneticPr fontId="2"/>
  </si>
  <si>
    <t>疑似電力サーバーより制御指示入力
【14:30～14:59】【30%】</t>
    <rPh sb="0" eb="2">
      <t>ギジ</t>
    </rPh>
    <rPh sb="2" eb="4">
      <t>デンリョク</t>
    </rPh>
    <rPh sb="10" eb="12">
      <t>セイギョ</t>
    </rPh>
    <rPh sb="12" eb="14">
      <t>シジ</t>
    </rPh>
    <rPh sb="14" eb="16">
      <t>ニュウリョク</t>
    </rPh>
    <phoneticPr fontId="2"/>
  </si>
  <si>
    <t>30%制御開始を確認
連系点電力の低下が始まることを確認</t>
    <rPh sb="3" eb="5">
      <t>セイギョ</t>
    </rPh>
    <rPh sb="5" eb="7">
      <t>カイシ</t>
    </rPh>
    <rPh sb="8" eb="10">
      <t>カクニン</t>
    </rPh>
    <rPh sb="11" eb="14">
      <t>レンケイテン</t>
    </rPh>
    <rPh sb="14" eb="16">
      <t>デンリョク</t>
    </rPh>
    <rPh sb="17" eb="19">
      <t>テイカ</t>
    </rPh>
    <rPh sb="20" eb="21">
      <t>ハジ</t>
    </rPh>
    <rPh sb="26" eb="28">
      <t>カクニン</t>
    </rPh>
    <phoneticPr fontId="2"/>
  </si>
  <si>
    <t>連系点電力が30%相当となることを確認
(※1)</t>
    <rPh sb="0" eb="3">
      <t>レンケイテン</t>
    </rPh>
    <rPh sb="3" eb="5">
      <t>デンリョク</t>
    </rPh>
    <rPh sb="9" eb="11">
      <t>ソウトウ</t>
    </rPh>
    <rPh sb="17" eb="19">
      <t>カクニン</t>
    </rPh>
    <phoneticPr fontId="2"/>
  </si>
  <si>
    <t>疑似電力サーバーより制御指示入力
【15:30～15:59】【20%】</t>
    <rPh sb="0" eb="2">
      <t>ギジ</t>
    </rPh>
    <rPh sb="2" eb="4">
      <t>デンリョク</t>
    </rPh>
    <rPh sb="10" eb="12">
      <t>セイギョ</t>
    </rPh>
    <rPh sb="12" eb="14">
      <t>シジ</t>
    </rPh>
    <rPh sb="14" eb="16">
      <t>ニュウリョク</t>
    </rPh>
    <phoneticPr fontId="2"/>
  </si>
  <si>
    <t>20%制御開始を確認
連系点電力の低下が始まることを確認</t>
    <rPh sb="3" eb="5">
      <t>セイギョ</t>
    </rPh>
    <rPh sb="5" eb="7">
      <t>カイシ</t>
    </rPh>
    <rPh sb="8" eb="10">
      <t>カクニン</t>
    </rPh>
    <rPh sb="11" eb="14">
      <t>レンケイテン</t>
    </rPh>
    <rPh sb="14" eb="16">
      <t>デンリョク</t>
    </rPh>
    <rPh sb="17" eb="19">
      <t>テイカ</t>
    </rPh>
    <rPh sb="20" eb="21">
      <t>ハジ</t>
    </rPh>
    <rPh sb="26" eb="28">
      <t>カクニン</t>
    </rPh>
    <phoneticPr fontId="2"/>
  </si>
  <si>
    <t>連系点電力が20%相当となることを確認
(※1)</t>
    <rPh sb="0" eb="3">
      <t>レンケイテン</t>
    </rPh>
    <rPh sb="3" eb="5">
      <t>デンリョク</t>
    </rPh>
    <rPh sb="9" eb="11">
      <t>ソウトウ</t>
    </rPh>
    <rPh sb="17" eb="19">
      <t>カクニン</t>
    </rPh>
    <phoneticPr fontId="2"/>
  </si>
  <si>
    <t>疑似電力サーバーより制御指示入力
【16:00～16:29】【20%】</t>
    <rPh sb="0" eb="2">
      <t>ギジ</t>
    </rPh>
    <rPh sb="2" eb="4">
      <t>デンリョク</t>
    </rPh>
    <rPh sb="10" eb="12">
      <t>セイギョ</t>
    </rPh>
    <rPh sb="12" eb="14">
      <t>シジ</t>
    </rPh>
    <rPh sb="14" eb="16">
      <t>ニュウリョク</t>
    </rPh>
    <phoneticPr fontId="2"/>
  </si>
  <si>
    <t>10%制御開始を確認
連系点電力の低下が始まることを確認</t>
    <rPh sb="3" eb="5">
      <t>セイギョ</t>
    </rPh>
    <rPh sb="5" eb="7">
      <t>カイシ</t>
    </rPh>
    <rPh sb="8" eb="10">
      <t>カクニン</t>
    </rPh>
    <rPh sb="11" eb="14">
      <t>レンケイテン</t>
    </rPh>
    <rPh sb="14" eb="16">
      <t>デンリョク</t>
    </rPh>
    <rPh sb="17" eb="19">
      <t>テイカ</t>
    </rPh>
    <rPh sb="20" eb="21">
      <t>ハジ</t>
    </rPh>
    <rPh sb="26" eb="28">
      <t>カクニン</t>
    </rPh>
    <phoneticPr fontId="2"/>
  </si>
  <si>
    <t>連系点電力が10%相当となることを確認
(※1)</t>
    <rPh sb="0" eb="3">
      <t>レンケイテン</t>
    </rPh>
    <rPh sb="3" eb="5">
      <t>デンリョク</t>
    </rPh>
    <rPh sb="9" eb="11">
      <t>ソウトウ</t>
    </rPh>
    <rPh sb="17" eb="19">
      <t>カクニン</t>
    </rPh>
    <phoneticPr fontId="2"/>
  </si>
  <si>
    <t>①【技術仕様（１）（３）】出力制御指令値に対する担保</t>
    <phoneticPr fontId="2"/>
  </si>
  <si>
    <t>◆「再エネ発電のみ」のケース</t>
    <phoneticPr fontId="2"/>
  </si>
  <si>
    <t>発電所から系統への逆潮流が出力制御指令値を超えた場合、</t>
  </si>
  <si>
    <t>５分以内にPV PCS及び蓄電池用PCSが停止すること</t>
    <rPh sb="1" eb="2">
      <t>ブ</t>
    </rPh>
    <rPh sb="2" eb="4">
      <t>イナイ</t>
    </rPh>
    <rPh sb="11" eb="12">
      <t>オヨ</t>
    </rPh>
    <rPh sb="13" eb="16">
      <t>チクデンチ</t>
    </rPh>
    <rPh sb="16" eb="17">
      <t>ヨウ</t>
    </rPh>
    <rPh sb="21" eb="23">
      <t>テイシ</t>
    </rPh>
    <phoneticPr fontId="2"/>
  </si>
  <si>
    <t>目安試験時間：2h</t>
    <rPh sb="0" eb="2">
      <t>メヤス</t>
    </rPh>
    <rPh sb="4" eb="6">
      <t>ジカン</t>
    </rPh>
    <phoneticPr fontId="2"/>
  </si>
  <si>
    <t>　PV PCSの1台の出力制御機能をOFFし、発電電力が電力サーバー指示値を逸脱する状況を発生させる。（Universソフト対応）</t>
    <rPh sb="9" eb="10">
      <t>ダイ</t>
    </rPh>
    <rPh sb="11" eb="13">
      <t>シュツリョク</t>
    </rPh>
    <rPh sb="13" eb="15">
      <t>セイギョ</t>
    </rPh>
    <rPh sb="15" eb="17">
      <t>キノウ</t>
    </rPh>
    <rPh sb="23" eb="27">
      <t>ハツデンデンリョク</t>
    </rPh>
    <rPh sb="28" eb="30">
      <t>デンリョク</t>
    </rPh>
    <rPh sb="34" eb="37">
      <t>シジチ</t>
    </rPh>
    <rPh sb="38" eb="40">
      <t>イツダツ</t>
    </rPh>
    <rPh sb="42" eb="44">
      <t>ジョウキョウ</t>
    </rPh>
    <rPh sb="45" eb="47">
      <t>ハッセイ</t>
    </rPh>
    <rPh sb="62" eb="64">
      <t>タイオウ</t>
    </rPh>
    <phoneticPr fontId="2"/>
  </si>
  <si>
    <t>制御機能をOFFにすると停止もできない為、</t>
    <rPh sb="0" eb="2">
      <t>セイギョ</t>
    </rPh>
    <rPh sb="2" eb="4">
      <t>キノウ</t>
    </rPh>
    <rPh sb="12" eb="14">
      <t>テイシ</t>
    </rPh>
    <rPh sb="19" eb="20">
      <t>タメ</t>
    </rPh>
    <phoneticPr fontId="2"/>
  </si>
  <si>
    <t>　PV PCS、蓄電PCSが5分以内に停止することを確認。</t>
    <rPh sb="8" eb="10">
      <t>チクデン</t>
    </rPh>
    <rPh sb="15" eb="16">
      <t>フン</t>
    </rPh>
    <rPh sb="16" eb="18">
      <t>イナイ</t>
    </rPh>
    <rPh sb="19" eb="21">
      <t>テイシ</t>
    </rPh>
    <rPh sb="26" eb="28">
      <t>カクニン</t>
    </rPh>
    <phoneticPr fontId="2"/>
  </si>
  <si>
    <t>EGC指令は10%だが、3台とも100%で動かすソフト設定変更をする</t>
    <rPh sb="3" eb="5">
      <t>シレイ</t>
    </rPh>
    <rPh sb="27" eb="29">
      <t>セッテイ</t>
    </rPh>
    <rPh sb="29" eb="31">
      <t>ヘンコウ</t>
    </rPh>
    <phoneticPr fontId="2"/>
  </si>
  <si>
    <t>・疑似電力サーバーから、20%の制御指示を入力。</t>
    <rPh sb="1" eb="3">
      <t>ギジ</t>
    </rPh>
    <rPh sb="3" eb="5">
      <t>デンリョク</t>
    </rPh>
    <rPh sb="16" eb="18">
      <t>セイギョ</t>
    </rPh>
    <rPh sb="18" eb="20">
      <t>シジ</t>
    </rPh>
    <rPh sb="21" eb="23">
      <t>ニュウリョク</t>
    </rPh>
    <phoneticPr fontId="2"/>
  </si>
  <si>
    <t>疑似電力サーバーより制御指示入力
【14:00～14:29】【5%】</t>
    <rPh sb="0" eb="2">
      <t>ギジ</t>
    </rPh>
    <rPh sb="2" eb="4">
      <t>デンリョク</t>
    </rPh>
    <rPh sb="10" eb="12">
      <t>セイギョ</t>
    </rPh>
    <rPh sb="12" eb="14">
      <t>シジ</t>
    </rPh>
    <rPh sb="14" eb="16">
      <t>ニュウリョク</t>
    </rPh>
    <phoneticPr fontId="2"/>
  </si>
  <si>
    <t>PCS1の出力制御機能をOFF</t>
    <rPh sb="5" eb="11">
      <t>シュツリョクセイギョキノウ</t>
    </rPh>
    <phoneticPr fontId="2"/>
  </si>
  <si>
    <t>5分以内にPV PCS、蓄電PCSが停止することを確認</t>
    <rPh sb="1" eb="2">
      <t>フン</t>
    </rPh>
    <rPh sb="2" eb="4">
      <t>イナイ</t>
    </rPh>
    <rPh sb="12" eb="14">
      <t>チクデン</t>
    </rPh>
    <rPh sb="18" eb="20">
      <t>テイシ</t>
    </rPh>
    <rPh sb="25" eb="27">
      <t>カクニン</t>
    </rPh>
    <phoneticPr fontId="2"/>
  </si>
  <si>
    <t>PCS1の出力制御機能をON</t>
    <rPh sb="5" eb="11">
      <t>シュツリョクセイギョキノウ</t>
    </rPh>
    <phoneticPr fontId="2"/>
  </si>
  <si>
    <t>PV PCS、蓄電PCSを起動</t>
    <rPh sb="7" eb="9">
      <t>チクデン</t>
    </rPh>
    <rPh sb="13" eb="15">
      <t>キドウ</t>
    </rPh>
    <phoneticPr fontId="2"/>
  </si>
  <si>
    <t>PV PCS、蓄電PCSの起動を確認</t>
    <rPh sb="7" eb="9">
      <t>チクデン</t>
    </rPh>
    <rPh sb="13" eb="15">
      <t>キドウ</t>
    </rPh>
    <rPh sb="16" eb="18">
      <t>カクニン</t>
    </rPh>
    <phoneticPr fontId="2"/>
  </si>
  <si>
    <t>疑似電力サーバーより制御指示入力
【12:00～12:29】【20%】</t>
    <rPh sb="0" eb="2">
      <t>ギジ</t>
    </rPh>
    <rPh sb="2" eb="4">
      <t>デンリョク</t>
    </rPh>
    <rPh sb="10" eb="12">
      <t>セイギョ</t>
    </rPh>
    <rPh sb="12" eb="14">
      <t>シジ</t>
    </rPh>
    <rPh sb="14" eb="16">
      <t>ニュウリョク</t>
    </rPh>
    <phoneticPr fontId="2"/>
  </si>
  <si>
    <t>連系点メーターの表示値を確認、写真を撮影</t>
    <rPh sb="0" eb="3">
      <t>レンケイテン</t>
    </rPh>
    <rPh sb="8" eb="10">
      <t>ヒョウジ</t>
    </rPh>
    <rPh sb="10" eb="11">
      <t>チ</t>
    </rPh>
    <rPh sb="12" eb="14">
      <t>カクニン</t>
    </rPh>
    <rPh sb="15" eb="17">
      <t>シャシン</t>
    </rPh>
    <rPh sb="18" eb="20">
      <t>サツエイ</t>
    </rPh>
    <phoneticPr fontId="2"/>
  </si>
  <si>
    <t>◆「再エネ発電＋蓄電池」のケース</t>
    <phoneticPr fontId="2"/>
  </si>
  <si>
    <t>発電所から系統への逆潮流が出力制御指令値を超えた場合、</t>
    <phoneticPr fontId="2"/>
  </si>
  <si>
    <t>５分以内にPV PCS及び蓄電池用PCSが停止すること。</t>
    <rPh sb="1" eb="2">
      <t>ブ</t>
    </rPh>
    <rPh sb="2" eb="4">
      <t>イナイ</t>
    </rPh>
    <rPh sb="11" eb="12">
      <t>オヨ</t>
    </rPh>
    <rPh sb="13" eb="16">
      <t>チクデンチ</t>
    </rPh>
    <rPh sb="16" eb="17">
      <t>ヨウ</t>
    </rPh>
    <rPh sb="21" eb="23">
      <t>テイシ</t>
    </rPh>
    <phoneticPr fontId="2"/>
  </si>
  <si>
    <t>※電力サーバー指示とアグリゲータ指示が同時に入った場合、電力サーバー指示が優先される</t>
    <rPh sb="1" eb="3">
      <t>デンリョク</t>
    </rPh>
    <rPh sb="7" eb="9">
      <t>シジ</t>
    </rPh>
    <rPh sb="16" eb="18">
      <t>シジ</t>
    </rPh>
    <rPh sb="19" eb="21">
      <t>ドウジ</t>
    </rPh>
    <rPh sb="22" eb="23">
      <t>ハイ</t>
    </rPh>
    <rPh sb="25" eb="27">
      <t>バアイ</t>
    </rPh>
    <rPh sb="28" eb="30">
      <t>デンリョク</t>
    </rPh>
    <rPh sb="34" eb="36">
      <t>シジ</t>
    </rPh>
    <rPh sb="37" eb="39">
      <t>ユウセン</t>
    </rPh>
    <phoneticPr fontId="2"/>
  </si>
  <si>
    <t>・アグリゲータ指令を疑似する放電指令（100%放電指示）をクラウドから送信。（Univers）</t>
    <rPh sb="14" eb="16">
      <t>ホウデン</t>
    </rPh>
    <rPh sb="23" eb="25">
      <t>ホウデン</t>
    </rPh>
    <rPh sb="25" eb="27">
      <t>シジ</t>
    </rPh>
    <phoneticPr fontId="2"/>
  </si>
  <si>
    <t>疑似電力サーバーより制御指示入力
【13:00～13:29】【10%】</t>
    <rPh sb="0" eb="2">
      <t>ギジ</t>
    </rPh>
    <rPh sb="2" eb="4">
      <t>デンリョク</t>
    </rPh>
    <rPh sb="10" eb="12">
      <t>セイギョ</t>
    </rPh>
    <rPh sb="12" eb="14">
      <t>シジ</t>
    </rPh>
    <rPh sb="14" eb="16">
      <t>ニュウリョク</t>
    </rPh>
    <phoneticPr fontId="2"/>
  </si>
  <si>
    <t>疑似アグリゲータ指令を送信
【100%放電】</t>
    <rPh sb="0" eb="2">
      <t>ギジ</t>
    </rPh>
    <rPh sb="8" eb="10">
      <t>シレイ</t>
    </rPh>
    <rPh sb="11" eb="13">
      <t>ソウシン</t>
    </rPh>
    <rPh sb="19" eb="21">
      <t>ホウデン</t>
    </rPh>
    <phoneticPr fontId="2"/>
  </si>
  <si>
    <t>疑似電力サーバーより制御指示入力
【14:00～14:29】【20%】</t>
    <rPh sb="0" eb="2">
      <t>ギジ</t>
    </rPh>
    <rPh sb="2" eb="4">
      <t>デンリョク</t>
    </rPh>
    <rPh sb="10" eb="12">
      <t>セイギョ</t>
    </rPh>
    <rPh sb="12" eb="14">
      <t>シジ</t>
    </rPh>
    <rPh sb="14" eb="16">
      <t>ニュウリョク</t>
    </rPh>
    <phoneticPr fontId="2"/>
  </si>
  <si>
    <t>疑似アグリゲータ指令を解除</t>
    <rPh sb="0" eb="2">
      <t>ギジ</t>
    </rPh>
    <rPh sb="8" eb="10">
      <t>シレイ</t>
    </rPh>
    <rPh sb="11" eb="13">
      <t>カイジョ</t>
    </rPh>
    <phoneticPr fontId="2"/>
  </si>
  <si>
    <t>①【技術仕様（２）（３）】＜2024年度以降新規認定FIPおよび非FITは任意＞蓄電池充電電力が再エネ由来であることの担保</t>
    <phoneticPr fontId="2"/>
  </si>
  <si>
    <t>（２）再エネ発電電力を蓄電池充電電力が超えた場合、５分以内に再エネ用ＰＣＳ及び蓄電池用ＰＣＳが停止すること</t>
    <phoneticPr fontId="2"/>
  </si>
  <si>
    <t>蓄電池が充電中に、連系点において順潮流（系統→発電設備）を検出した場合、５分以内に再エネ用ＰＣＳ及び蓄電池用ＰＣＳが停止すること</t>
    <phoneticPr fontId="2"/>
  </si>
  <si>
    <t>目安試験時間：0.5h</t>
    <rPh sb="0" eb="2">
      <t>メヤス</t>
    </rPh>
    <rPh sb="4" eb="6">
      <t>ジカン</t>
    </rPh>
    <phoneticPr fontId="2"/>
  </si>
  <si>
    <t>蓄電池が充電可能であること（目安：SOC 70%以下）</t>
    <rPh sb="0" eb="3">
      <t>チクデンチ</t>
    </rPh>
    <rPh sb="4" eb="6">
      <t>ジュウデン</t>
    </rPh>
    <rPh sb="6" eb="8">
      <t>カノウ</t>
    </rPh>
    <rPh sb="14" eb="16">
      <t>メヤス</t>
    </rPh>
    <rPh sb="24" eb="26">
      <t>イカ</t>
    </rPh>
    <phoneticPr fontId="2"/>
  </si>
  <si>
    <t>Univers EMSに、手動で100%充電指令を送信し、蓄電池の充電状態を実現する。</t>
    <phoneticPr fontId="2"/>
  </si>
  <si>
    <t>電力メーターの読み値が系統からの売電となるように、メーター読み値を買電側に補正（定格出力の５％超を充電側に振る）する。</t>
  </si>
  <si>
    <t>PV PCS発電電力を蓄電PCS充電電力が上回ることで、PV PCS、蓄電PCSが5分以内に停止することを確認。</t>
    <rPh sb="6" eb="10">
      <t>ハツデンデンリョク</t>
    </rPh>
    <rPh sb="11" eb="13">
      <t>チクデン</t>
    </rPh>
    <rPh sb="16" eb="20">
      <t>ジュウデンデンリョク</t>
    </rPh>
    <rPh sb="21" eb="23">
      <t>ウワマワ</t>
    </rPh>
    <rPh sb="35" eb="37">
      <t>チクデン</t>
    </rPh>
    <rPh sb="42" eb="43">
      <t>フン</t>
    </rPh>
    <rPh sb="43" eb="45">
      <t>イナイ</t>
    </rPh>
    <rPh sb="46" eb="48">
      <t>テイシ</t>
    </rPh>
    <rPh sb="53" eb="55">
      <t>カクニン</t>
    </rPh>
    <phoneticPr fontId="2"/>
  </si>
  <si>
    <t>蓄電池SOC70%以下を確認</t>
    <rPh sb="9" eb="11">
      <t>イカ</t>
    </rPh>
    <phoneticPr fontId="2"/>
  </si>
  <si>
    <t>SOC70%以上の時、放電指示入力</t>
    <rPh sb="6" eb="8">
      <t>イジョウ</t>
    </rPh>
    <rPh sb="9" eb="10">
      <t>トキ</t>
    </rPh>
    <rPh sb="11" eb="13">
      <t>ホウデン</t>
    </rPh>
    <rPh sb="13" eb="15">
      <t>シジ</t>
    </rPh>
    <rPh sb="15" eb="17">
      <t>ニュウリョク</t>
    </rPh>
    <phoneticPr fontId="2"/>
  </si>
  <si>
    <t>メーター読み値設定を変更</t>
    <rPh sb="4" eb="5">
      <t>ヨ</t>
    </rPh>
    <rPh sb="6" eb="7">
      <t>チ</t>
    </rPh>
    <rPh sb="7" eb="9">
      <t>セッテイ</t>
    </rPh>
    <rPh sb="10" eb="12">
      <t>ヘンコウ</t>
    </rPh>
    <phoneticPr fontId="2"/>
  </si>
  <si>
    <t>クラウド環境から、
100%充電指令をEMSに送信</t>
  </si>
  <si>
    <t>クラウド環境から、充電指令を解除</t>
    <rPh sb="14" eb="16">
      <t>カイジョ</t>
    </rPh>
    <phoneticPr fontId="2"/>
  </si>
  <si>
    <t>メーター読み値設定を運用状態に戻す</t>
    <rPh sb="4" eb="5">
      <t>ヨ</t>
    </rPh>
    <rPh sb="6" eb="7">
      <t>チ</t>
    </rPh>
    <rPh sb="7" eb="9">
      <t>セッテイ</t>
    </rPh>
    <rPh sb="10" eb="14">
      <t>ウンヨウジョウタイ</t>
    </rPh>
    <rPh sb="15" eb="16">
      <t>モド</t>
    </rPh>
    <phoneticPr fontId="2"/>
  </si>
  <si>
    <t>PV PCS、蓄電PCSの起動を確認</t>
    <phoneticPr fontId="2"/>
  </si>
  <si>
    <t>発電所から系統への逆潮流が契約容量を超えた場合、</t>
    <phoneticPr fontId="2"/>
  </si>
  <si>
    <t>RPR相当の精度にて、PV PCS及び蓄電PCSを停止または抑制すること</t>
    <rPh sb="3" eb="5">
      <t>ソウトウ</t>
    </rPh>
    <rPh sb="6" eb="8">
      <t>セイド</t>
    </rPh>
    <rPh sb="17" eb="18">
      <t>オヨ</t>
    </rPh>
    <rPh sb="19" eb="21">
      <t>チクデン</t>
    </rPh>
    <rPh sb="25" eb="27">
      <t>テイシ</t>
    </rPh>
    <rPh sb="30" eb="32">
      <t>ヨクセイ</t>
    </rPh>
    <phoneticPr fontId="2"/>
  </si>
  <si>
    <t>RPR相当の精度（0.5～2.0秒）</t>
    <phoneticPr fontId="2"/>
  </si>
  <si>
    <t>蓄電池が放電可能であること（目安：SOC 30%以上）</t>
    <rPh sb="0" eb="3">
      <t>チクデンチ</t>
    </rPh>
    <rPh sb="4" eb="6">
      <t>ホウデン</t>
    </rPh>
    <rPh sb="6" eb="8">
      <t>カノウ</t>
    </rPh>
    <rPh sb="14" eb="16">
      <t>メヤス</t>
    </rPh>
    <rPh sb="24" eb="26">
      <t>イジョウ</t>
    </rPh>
    <phoneticPr fontId="2"/>
  </si>
  <si>
    <r>
      <t>・</t>
    </r>
    <r>
      <rPr>
        <sz val="11"/>
        <color rgb="FFFF0000"/>
        <rFont val="Meiryo UI"/>
        <family val="3"/>
        <charset val="128"/>
      </rPr>
      <t>EMS</t>
    </r>
    <r>
      <rPr>
        <strike/>
        <sz val="11"/>
        <color theme="1"/>
        <rFont val="Meiryo UI"/>
        <family val="3"/>
        <charset val="128"/>
      </rPr>
      <t>蓄電池メーカー</t>
    </r>
    <r>
      <rPr>
        <sz val="11"/>
        <color theme="1"/>
        <rFont val="Meiryo UI"/>
        <family val="3"/>
        <charset val="128"/>
      </rPr>
      <t>にて、強制100%放電指示を設定する。</t>
    </r>
    <rPh sb="4" eb="7">
      <t>チクデンチ</t>
    </rPh>
    <rPh sb="14" eb="16">
      <t>キョウセイ</t>
    </rPh>
    <rPh sb="20" eb="22">
      <t>ホウデン</t>
    </rPh>
    <rPh sb="22" eb="24">
      <t>シジ</t>
    </rPh>
    <rPh sb="25" eb="27">
      <t>セッテイ</t>
    </rPh>
    <phoneticPr fontId="2"/>
  </si>
  <si>
    <t>※対応不可の場合、Universから100%放電指示を設定する。</t>
    <rPh sb="1" eb="3">
      <t>タイオウ</t>
    </rPh>
    <rPh sb="3" eb="5">
      <t>フカ</t>
    </rPh>
    <rPh sb="6" eb="8">
      <t>バアイ</t>
    </rPh>
    <rPh sb="22" eb="24">
      <t>ホウデン</t>
    </rPh>
    <rPh sb="24" eb="26">
      <t>シジ</t>
    </rPh>
    <rPh sb="27" eb="29">
      <t>セッテイ</t>
    </rPh>
    <phoneticPr fontId="2"/>
  </si>
  <si>
    <t>・PV PCS発電電力＋蓄電池放電電力 が定格をオーバーし、RPR相当の精度にてPV PCS、蓄電PCSが停止することを確認。</t>
    <rPh sb="7" eb="11">
      <t>ハツデンデンリョク</t>
    </rPh>
    <rPh sb="12" eb="15">
      <t>チクデンチ</t>
    </rPh>
    <rPh sb="15" eb="17">
      <t>ホウデン</t>
    </rPh>
    <rPh sb="17" eb="19">
      <t>デンリョク</t>
    </rPh>
    <rPh sb="21" eb="23">
      <t>テイカク</t>
    </rPh>
    <rPh sb="33" eb="35">
      <t>ソウトウ</t>
    </rPh>
    <rPh sb="36" eb="38">
      <t>セイド</t>
    </rPh>
    <rPh sb="47" eb="49">
      <t>チクデン</t>
    </rPh>
    <rPh sb="53" eb="55">
      <t>テイシ</t>
    </rPh>
    <rPh sb="60" eb="62">
      <t>カクニン</t>
    </rPh>
    <phoneticPr fontId="2"/>
  </si>
  <si>
    <t>・PV PCSを全台 停止する。</t>
    <rPh sb="8" eb="9">
      <t>ゼン</t>
    </rPh>
    <rPh sb="9" eb="10">
      <t>ダイ</t>
    </rPh>
    <rPh sb="11" eb="13">
      <t>テイシ</t>
    </rPh>
    <phoneticPr fontId="2"/>
  </si>
  <si>
    <t>・蓄電池メーカーにて、強制90%放電指示を設定する。</t>
    <rPh sb="1" eb="4">
      <t>チクデンチ</t>
    </rPh>
    <rPh sb="11" eb="13">
      <t>キョウセイ</t>
    </rPh>
    <rPh sb="16" eb="18">
      <t>ホウデン</t>
    </rPh>
    <rPh sb="18" eb="20">
      <t>シジ</t>
    </rPh>
    <rPh sb="21" eb="23">
      <t>セッテイ</t>
    </rPh>
    <phoneticPr fontId="2"/>
  </si>
  <si>
    <t>・PV PCSを起動する。</t>
    <rPh sb="8" eb="10">
      <t>キドウ</t>
    </rPh>
    <phoneticPr fontId="2"/>
  </si>
  <si>
    <t>　PV PCS発電電力＋蓄電池放電電力 が定格をオーバーし、RPR相当の精度にてPV PCS、蓄電PCSが停止することを確認。</t>
    <phoneticPr fontId="2"/>
  </si>
  <si>
    <t>蓄電池SOC30%以上を確認</t>
    <rPh sb="9" eb="11">
      <t>イジョウ</t>
    </rPh>
    <phoneticPr fontId="2"/>
  </si>
  <si>
    <t>SOC30%以下の時、充電指示入力</t>
    <rPh sb="6" eb="8">
      <t>イカ</t>
    </rPh>
    <rPh sb="9" eb="10">
      <t>トキ</t>
    </rPh>
    <rPh sb="11" eb="13">
      <t>ジュウデン</t>
    </rPh>
    <rPh sb="13" eb="15">
      <t>シジ</t>
    </rPh>
    <rPh sb="15" eb="17">
      <t>ニュウリョク</t>
    </rPh>
    <phoneticPr fontId="2"/>
  </si>
  <si>
    <t>100%強制放電指示を設定</t>
    <rPh sb="4" eb="6">
      <t>キョウセイ</t>
    </rPh>
    <rPh sb="6" eb="8">
      <t>ホウデン</t>
    </rPh>
    <rPh sb="8" eb="10">
      <t>シジ</t>
    </rPh>
    <rPh sb="11" eb="13">
      <t>セッテイ</t>
    </rPh>
    <phoneticPr fontId="2"/>
  </si>
  <si>
    <t>蓄電池メーカーにて対応不可の場合、
100%放電指示を設定</t>
    <rPh sb="0" eb="3">
      <t>チクデンチ</t>
    </rPh>
    <rPh sb="9" eb="11">
      <t>タイオウ</t>
    </rPh>
    <rPh sb="11" eb="13">
      <t>フカ</t>
    </rPh>
    <rPh sb="14" eb="16">
      <t>バアイ</t>
    </rPh>
    <rPh sb="22" eb="24">
      <t>ホウデン</t>
    </rPh>
    <rPh sb="24" eb="26">
      <t>シジ</t>
    </rPh>
    <rPh sb="27" eb="29">
      <t>セッテイ</t>
    </rPh>
    <phoneticPr fontId="2"/>
  </si>
  <si>
    <t>PV PCS、蓄電PCSが停止することを確認
（※1）</t>
    <rPh sb="7" eb="9">
      <t>チクデン</t>
    </rPh>
    <rPh sb="13" eb="15">
      <t>テイシ</t>
    </rPh>
    <rPh sb="20" eb="22">
      <t>カクニン</t>
    </rPh>
    <phoneticPr fontId="2"/>
  </si>
  <si>
    <t>強制放電指示を解除</t>
    <rPh sb="0" eb="2">
      <t>キョウセイ</t>
    </rPh>
    <rPh sb="2" eb="4">
      <t>ホウデン</t>
    </rPh>
    <rPh sb="4" eb="6">
      <t>シジ</t>
    </rPh>
    <rPh sb="7" eb="9">
      <t>カイジョ</t>
    </rPh>
    <phoneticPr fontId="2"/>
  </si>
  <si>
    <t>No2で放電指示をした場合、
放電指示を解除</t>
    <rPh sb="4" eb="8">
      <t>ホウデンシジ</t>
    </rPh>
    <rPh sb="11" eb="13">
      <t>バアイ</t>
    </rPh>
    <rPh sb="15" eb="17">
      <t>ホウデン</t>
    </rPh>
    <rPh sb="17" eb="19">
      <t>シジ</t>
    </rPh>
    <rPh sb="20" eb="22">
      <t>カイジョ</t>
    </rPh>
    <phoneticPr fontId="2"/>
  </si>
  <si>
    <t>PV PCSを全台停止</t>
    <rPh sb="7" eb="9">
      <t>ゼンダイ</t>
    </rPh>
    <rPh sb="9" eb="11">
      <t>テイシ</t>
    </rPh>
    <phoneticPr fontId="2"/>
  </si>
  <si>
    <t>90%強制放電指示を設定</t>
    <rPh sb="3" eb="5">
      <t>キョウセイ</t>
    </rPh>
    <rPh sb="5" eb="7">
      <t>ホウデン</t>
    </rPh>
    <rPh sb="7" eb="9">
      <t>シジ</t>
    </rPh>
    <rPh sb="10" eb="12">
      <t>セッテイ</t>
    </rPh>
    <phoneticPr fontId="2"/>
  </si>
  <si>
    <t>蓄電池メーカーにて対応不可の場合、
90%放電指示を設定</t>
    <rPh sb="0" eb="3">
      <t>チクデンチ</t>
    </rPh>
    <rPh sb="9" eb="11">
      <t>タイオウ</t>
    </rPh>
    <rPh sb="11" eb="13">
      <t>フカ</t>
    </rPh>
    <rPh sb="14" eb="16">
      <t>バアイ</t>
    </rPh>
    <rPh sb="21" eb="23">
      <t>ホウデン</t>
    </rPh>
    <rPh sb="23" eb="25">
      <t>シジ</t>
    </rPh>
    <rPh sb="26" eb="28">
      <t>セッテイ</t>
    </rPh>
    <phoneticPr fontId="2"/>
  </si>
  <si>
    <t>PV PCSを起動</t>
    <rPh sb="7" eb="9">
      <t>キドウ</t>
    </rPh>
    <phoneticPr fontId="2"/>
  </si>
  <si>
    <t>No7で放電指示をした場合、
放電指示を解除</t>
    <rPh sb="4" eb="8">
      <t>ホウデンシジ</t>
    </rPh>
    <rPh sb="11" eb="13">
      <t>バアイ</t>
    </rPh>
    <rPh sb="15" eb="17">
      <t>ホウデン</t>
    </rPh>
    <rPh sb="17" eb="19">
      <t>シジ</t>
    </rPh>
    <rPh sb="20" eb="22">
      <t>カイジョ</t>
    </rPh>
    <phoneticPr fontId="2"/>
  </si>
  <si>
    <t>オシロスコープで確認</t>
    <rPh sb="8" eb="10">
      <t>カクニン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</si>
</sst>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charset val="128"/>
      <scheme val="minor"/>
    </font>
    <font>
      <sz val="6"/>
      <name val="Calibri"/>
      <family val="3"/>
      <charset val="128"/>
      <scheme val="minor"/>
    </font>
    <font>
      <b/>
      <sz val="11"/>
      <color theme="1"/>
      <name val="Meiryo UI"/>
      <family val="3"/>
      <charset val="128"/>
    </font>
    <font>
      <sz val="11"/>
      <color theme="1"/>
      <name val="Meiryo UI"/>
      <family val="3"/>
      <charset val="128"/>
    </font>
    <font>
      <sz val="14"/>
      <color theme="1"/>
      <name val="Meiryo UI"/>
      <family val="3"/>
      <charset val="128"/>
    </font>
    <font>
      <sz val="12"/>
      <color theme="1"/>
      <name val="Meiryo UI"/>
      <family val="3"/>
      <charset val="128"/>
    </font>
    <font>
      <sz val="10"/>
      <color theme="1"/>
      <name val="Meiryo UI"/>
      <family val="3"/>
      <charset val="128"/>
    </font>
    <font>
      <sz val="11"/>
      <color rgb="FFFF0000"/>
      <name val="Meiryo UI"/>
      <family val="3"/>
      <charset val="128"/>
    </font>
    <font>
      <b/>
      <sz val="20"/>
      <color theme="1"/>
      <name val="Calibri"/>
      <family val="3"/>
      <charset val="128"/>
      <scheme val="minor"/>
    </font>
    <font>
      <sz val="6"/>
      <name val="Calibri"/>
      <family val="2"/>
      <charset val="128"/>
      <scheme val="minor"/>
    </font>
    <font>
      <sz val="11"/>
      <name val="Calibri"/>
      <family val="2"/>
      <charset val="128"/>
      <scheme val="minor"/>
    </font>
    <font>
      <sz val="11"/>
      <color theme="1"/>
      <name val="Calibri"/>
      <family val="3"/>
      <charset val="128"/>
      <scheme val="minor"/>
    </font>
    <font>
      <sz val="11"/>
      <name val="Calibri"/>
      <family val="3"/>
      <charset val="128"/>
      <scheme val="minor"/>
    </font>
    <font>
      <b/>
      <sz val="11"/>
      <color rgb="FF0070C0"/>
      <name val="Calibri"/>
      <family val="3"/>
      <charset val="128"/>
      <scheme val="minor"/>
    </font>
    <font>
      <b/>
      <sz val="11"/>
      <color rgb="FFFF0000"/>
      <name val="Calibri"/>
      <family val="3"/>
      <charset val="128"/>
      <scheme val="minor"/>
    </font>
    <font>
      <b/>
      <sz val="11"/>
      <name val="Calibri"/>
      <family val="3"/>
      <charset val="128"/>
      <scheme val="minor"/>
    </font>
    <font>
      <sz val="11"/>
      <color rgb="FFFF0000"/>
      <name val="Calibri"/>
      <family val="3"/>
      <charset val="128"/>
      <scheme val="minor"/>
    </font>
    <font>
      <b/>
      <sz val="11"/>
      <color rgb="FFFF0000"/>
      <name val="Meiryo UI"/>
      <family val="3"/>
      <charset val="128"/>
    </font>
    <font>
      <b/>
      <sz val="11"/>
      <color rgb="FF0070C0"/>
      <name val="Meiryo UI"/>
      <family val="3"/>
      <charset val="128"/>
    </font>
    <font>
      <sz val="11"/>
      <color theme="0"/>
      <name val="Calibri"/>
      <family val="3"/>
      <charset val="128"/>
      <scheme val="minor"/>
    </font>
    <font>
      <sz val="11"/>
      <name val="Meiryo UI"/>
      <family val="3"/>
      <charset val="128"/>
    </font>
    <font>
      <strike/>
      <sz val="11"/>
      <color theme="1"/>
      <name val="Meiryo UI"/>
      <family val="3"/>
      <charset val="128"/>
    </font>
    <font>
      <b/>
      <sz val="11"/>
      <color theme="4" tint="-0.249977111117893"/>
      <name val="Meiryo UI"/>
      <family val="3"/>
      <charset val="128"/>
    </font>
    <font>
      <sz val="11"/>
      <color rgb="FFFF0000"/>
      <name val="Calibri"/>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rgb="FFCCFFFF"/>
        <bgColor indexed="64"/>
      </patternFill>
    </fill>
    <fill>
      <patternFill patternType="solid">
        <fgColor rgb="FFFFCCFF"/>
        <bgColor indexed="64"/>
      </patternFill>
    </fill>
    <fill>
      <patternFill patternType="solid">
        <fgColor rgb="FFCCFFCC"/>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2">
    <xf numFmtId="0" fontId="0" fillId="0" borderId="0"/>
    <xf numFmtId="0" fontId="1" fillId="0" borderId="0">
      <alignment vertical="center"/>
    </xf>
  </cellStyleXfs>
  <cellXfs count="134">
    <xf numFmtId="0" fontId="0" fillId="0" borderId="0" xfId="0"/>
    <xf numFmtId="0" fontId="3" fillId="0" borderId="0" xfId="0" applyFont="1" applyAlignment="1">
      <alignment vertical="center"/>
    </xf>
    <xf numFmtId="0" fontId="4" fillId="0" borderId="0" xfId="0" applyFont="1"/>
    <xf numFmtId="0" fontId="4" fillId="0" borderId="0" xfId="0" applyFont="1" applyAlignment="1">
      <alignment vertical="center"/>
    </xf>
    <xf numFmtId="0" fontId="4" fillId="0" borderId="0" xfId="0" applyFont="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vertical="center"/>
    </xf>
    <xf numFmtId="0" fontId="4" fillId="4" borderId="1" xfId="0" applyFont="1" applyFill="1" applyBorder="1" applyAlignment="1">
      <alignment horizontal="center" vertical="center"/>
    </xf>
    <xf numFmtId="9" fontId="4" fillId="4" borderId="1" xfId="0" applyNumberFormat="1" applyFont="1" applyFill="1" applyBorder="1" applyAlignment="1">
      <alignment horizontal="center" vertical="center"/>
    </xf>
    <xf numFmtId="9" fontId="4" fillId="5"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0" borderId="0" xfId="0" applyFont="1" applyAlignment="1">
      <alignment vertical="center"/>
    </xf>
    <xf numFmtId="0" fontId="4" fillId="4" borderId="1" xfId="0" applyFont="1" applyFill="1" applyBorder="1" applyAlignment="1">
      <alignment vertical="center"/>
    </xf>
    <xf numFmtId="0" fontId="4" fillId="3" borderId="1" xfId="0" applyFont="1" applyFill="1" applyBorder="1" applyAlignment="1">
      <alignment vertical="center"/>
    </xf>
    <xf numFmtId="0" fontId="4" fillId="5" borderId="1" xfId="0" applyFont="1" applyFill="1" applyBorder="1" applyAlignment="1">
      <alignment vertical="center"/>
    </xf>
    <xf numFmtId="0" fontId="4" fillId="0" borderId="6" xfId="0" applyFont="1" applyBorder="1" applyAlignment="1">
      <alignment horizontal="left" vertical="center"/>
    </xf>
    <xf numFmtId="0" fontId="4" fillId="0" borderId="6" xfId="0" applyFont="1" applyBorder="1" applyAlignment="1">
      <alignment vertical="center"/>
    </xf>
    <xf numFmtId="0" fontId="4" fillId="2" borderId="10" xfId="0" applyFont="1" applyFill="1" applyBorder="1" applyAlignment="1">
      <alignment horizontal="center" vertical="center"/>
    </xf>
    <xf numFmtId="0" fontId="4" fillId="2" borderId="11" xfId="0" applyFont="1" applyFill="1" applyBorder="1" applyAlignment="1">
      <alignment horizontal="left" vertical="center"/>
    </xf>
    <xf numFmtId="0" fontId="4" fillId="2" borderId="12" xfId="0" applyFont="1" applyFill="1" applyBorder="1" applyAlignment="1">
      <alignment horizontal="center" vertical="center"/>
    </xf>
    <xf numFmtId="0" fontId="4" fillId="0" borderId="2" xfId="0" applyFont="1" applyBorder="1" applyAlignment="1">
      <alignment horizontal="lef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vertical="center"/>
    </xf>
    <xf numFmtId="0" fontId="4" fillId="0" borderId="9" xfId="0" applyFont="1" applyBorder="1" applyAlignment="1">
      <alignment vertical="center"/>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1" xfId="0" applyFont="1" applyFill="1" applyBorder="1" applyAlignment="1">
      <alignment horizontal="center" vertical="center"/>
    </xf>
    <xf numFmtId="0" fontId="4" fillId="0" borderId="7" xfId="0" applyFont="1" applyBorder="1" applyAlignment="1">
      <alignment vertical="center"/>
    </xf>
    <xf numFmtId="0" fontId="4" fillId="6" borderId="1" xfId="0" applyFont="1" applyFill="1" applyBorder="1" applyAlignment="1">
      <alignment vertical="center"/>
    </xf>
    <xf numFmtId="0" fontId="4" fillId="0" borderId="1" xfId="0" applyFont="1" applyBorder="1" applyAlignment="1">
      <alignment vertical="center" wrapText="1"/>
    </xf>
    <xf numFmtId="0" fontId="4" fillId="0" borderId="4" xfId="0" applyFont="1" applyBorder="1" applyAlignment="1">
      <alignment horizontal="left" vertical="center"/>
    </xf>
    <xf numFmtId="0" fontId="4" fillId="0" borderId="9" xfId="0" applyFont="1" applyBorder="1" applyAlignment="1">
      <alignment horizontal="left" vertical="center"/>
    </xf>
    <xf numFmtId="20" fontId="4" fillId="0" borderId="1" xfId="0" applyNumberFormat="1" applyFont="1" applyBorder="1" applyAlignment="1">
      <alignment horizontal="center" vertical="center"/>
    </xf>
    <xf numFmtId="0" fontId="4" fillId="0" borderId="11" xfId="0" applyFont="1" applyBorder="1" applyAlignment="1">
      <alignment vertical="center"/>
    </xf>
    <xf numFmtId="0" fontId="4" fillId="0" borderId="8" xfId="0" applyFont="1" applyBorder="1" applyAlignment="1">
      <alignment horizontal="center" vertical="center"/>
    </xf>
    <xf numFmtId="0" fontId="6" fillId="0" borderId="0" xfId="0" applyFont="1" applyAlignment="1">
      <alignment vertical="center"/>
    </xf>
    <xf numFmtId="9" fontId="4" fillId="0" borderId="1" xfId="0" applyNumberFormat="1" applyFont="1" applyBorder="1" applyAlignment="1">
      <alignment horizontal="center" vertical="center"/>
    </xf>
    <xf numFmtId="0" fontId="0" fillId="0" borderId="0" xfId="0" applyAlignment="1">
      <alignment vertical="center"/>
    </xf>
    <xf numFmtId="20" fontId="0" fillId="0" borderId="0" xfId="0" applyNumberFormat="1" applyAlignment="1">
      <alignment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0" borderId="10" xfId="0" applyFont="1" applyBorder="1" applyAlignment="1">
      <alignment horizontal="center" vertical="center"/>
    </xf>
    <xf numFmtId="0" fontId="4" fillId="0" borderId="12" xfId="0" applyFont="1" applyBorder="1" applyAlignment="1">
      <alignment horizontal="center" vertical="center"/>
    </xf>
    <xf numFmtId="9" fontId="7" fillId="4" borderId="1" xfId="0" applyNumberFormat="1" applyFont="1" applyFill="1" applyBorder="1" applyAlignment="1">
      <alignment horizontal="center" vertical="center"/>
    </xf>
    <xf numFmtId="0" fontId="8" fillId="0" borderId="7" xfId="0" applyFont="1" applyBorder="1" applyAlignment="1">
      <alignment horizontal="left" vertical="center"/>
    </xf>
    <xf numFmtId="9" fontId="4" fillId="3" borderId="1" xfId="0" applyNumberFormat="1" applyFont="1" applyFill="1" applyBorder="1" applyAlignment="1">
      <alignment horizontal="center" vertical="center"/>
    </xf>
    <xf numFmtId="0" fontId="1" fillId="0" borderId="0" xfId="1">
      <alignment vertical="center"/>
    </xf>
    <xf numFmtId="0" fontId="9" fillId="0" borderId="0" xfId="1" applyFont="1">
      <alignment vertical="center"/>
    </xf>
    <xf numFmtId="14" fontId="11" fillId="0" borderId="0" xfId="1" applyNumberFormat="1" applyFont="1">
      <alignment vertical="center"/>
    </xf>
    <xf numFmtId="0" fontId="12" fillId="7" borderId="1" xfId="1" applyFont="1" applyFill="1" applyBorder="1" applyAlignment="1">
      <alignment vertical="center" wrapText="1"/>
    </xf>
    <xf numFmtId="0" fontId="12" fillId="7" borderId="1" xfId="1" applyFont="1" applyFill="1" applyBorder="1">
      <alignment vertical="center"/>
    </xf>
    <xf numFmtId="0" fontId="13" fillId="7" borderId="1" xfId="1" applyFont="1" applyFill="1" applyBorder="1">
      <alignment vertical="center"/>
    </xf>
    <xf numFmtId="0" fontId="12" fillId="8" borderId="1" xfId="1" applyFont="1" applyFill="1" applyBorder="1">
      <alignment vertical="center"/>
    </xf>
    <xf numFmtId="0" fontId="12" fillId="0" borderId="1" xfId="1" applyFont="1" applyBorder="1" applyAlignment="1">
      <alignment vertical="top" wrapText="1"/>
    </xf>
    <xf numFmtId="0" fontId="12" fillId="0" borderId="1" xfId="1" applyFont="1" applyBorder="1" applyAlignment="1">
      <alignment horizontal="left" vertical="top" wrapText="1"/>
    </xf>
    <xf numFmtId="0" fontId="14" fillId="0" borderId="1" xfId="1" applyFont="1" applyBorder="1" applyAlignment="1">
      <alignment horizontal="left" vertical="top" wrapText="1"/>
    </xf>
    <xf numFmtId="0" fontId="16" fillId="0" borderId="1" xfId="1" applyFont="1" applyBorder="1" applyAlignment="1">
      <alignment horizontal="left" vertical="top" wrapText="1"/>
    </xf>
    <xf numFmtId="0" fontId="15" fillId="0" borderId="1" xfId="1" applyFont="1" applyBorder="1" applyAlignment="1">
      <alignment vertical="top" wrapText="1"/>
    </xf>
    <xf numFmtId="0" fontId="12" fillId="9" borderId="1" xfId="1" applyFont="1" applyFill="1" applyBorder="1">
      <alignment vertical="center"/>
    </xf>
    <xf numFmtId="0" fontId="12" fillId="0" borderId="10" xfId="1" applyFont="1" applyBorder="1" applyAlignment="1">
      <alignment vertical="top" wrapText="1"/>
    </xf>
    <xf numFmtId="0" fontId="18" fillId="0" borderId="6" xfId="1" applyFont="1" applyBorder="1" applyAlignment="1">
      <alignment vertical="top" wrapText="1"/>
    </xf>
    <xf numFmtId="0" fontId="19" fillId="0" borderId="6" xfId="1" applyFont="1" applyBorder="1" applyAlignment="1">
      <alignment vertical="top" wrapText="1"/>
    </xf>
    <xf numFmtId="0" fontId="19" fillId="0" borderId="1" xfId="1" applyFont="1" applyBorder="1" applyAlignment="1">
      <alignment vertical="top" wrapText="1"/>
    </xf>
    <xf numFmtId="0" fontId="13" fillId="0" borderId="1" xfId="1" applyFont="1" applyBorder="1" applyAlignment="1">
      <alignment vertical="top"/>
    </xf>
    <xf numFmtId="0" fontId="12" fillId="6" borderId="1" xfId="1" applyFont="1" applyFill="1" applyBorder="1" applyAlignment="1">
      <alignment horizontal="left" vertical="top" wrapText="1"/>
    </xf>
    <xf numFmtId="0" fontId="14" fillId="6" borderId="1" xfId="1" applyFont="1" applyFill="1" applyBorder="1" applyAlignment="1">
      <alignment horizontal="left" vertical="top" wrapText="1"/>
    </xf>
    <xf numFmtId="0" fontId="16" fillId="6" borderId="1" xfId="1" applyFont="1" applyFill="1" applyBorder="1" applyAlignment="1">
      <alignment horizontal="left" vertical="center" wrapText="1"/>
    </xf>
    <xf numFmtId="0" fontId="20" fillId="0" borderId="1" xfId="1" applyFont="1" applyBorder="1" applyAlignment="1">
      <alignment horizontal="left" vertical="top" wrapText="1"/>
    </xf>
    <xf numFmtId="0" fontId="12" fillId="0" borderId="0" xfId="1" applyFont="1">
      <alignment vertical="center"/>
    </xf>
    <xf numFmtId="0" fontId="13" fillId="0" borderId="0" xfId="1" applyFont="1">
      <alignment vertical="center"/>
    </xf>
    <xf numFmtId="0" fontId="12" fillId="0" borderId="0" xfId="1" applyFont="1" applyAlignment="1">
      <alignment horizontal="right" vertical="center" wrapText="1"/>
    </xf>
    <xf numFmtId="0" fontId="12" fillId="0" borderId="0" xfId="1" applyFont="1" applyAlignment="1">
      <alignment vertical="center" wrapText="1"/>
    </xf>
    <xf numFmtId="0" fontId="17" fillId="0" borderId="0" xfId="1" applyFont="1">
      <alignment vertical="center"/>
    </xf>
    <xf numFmtId="0" fontId="1" fillId="0" borderId="0" xfId="1" applyAlignment="1">
      <alignment vertical="center" wrapText="1"/>
    </xf>
    <xf numFmtId="0" fontId="16" fillId="0" borderId="10" xfId="1" applyFont="1" applyBorder="1" applyAlignment="1">
      <alignment horizontal="left" vertical="top" wrapText="1"/>
    </xf>
    <xf numFmtId="0" fontId="8" fillId="0" borderId="0" xfId="0" applyFont="1" applyAlignment="1">
      <alignment vertical="center"/>
    </xf>
    <xf numFmtId="0" fontId="21" fillId="10" borderId="1" xfId="0" applyFont="1" applyFill="1" applyBorder="1" applyAlignment="1">
      <alignment vertical="center" wrapText="1"/>
    </xf>
    <xf numFmtId="0" fontId="21" fillId="0" borderId="0" xfId="0" applyFont="1" applyAlignment="1">
      <alignment vertical="center"/>
    </xf>
    <xf numFmtId="0" fontId="4" fillId="0" borderId="16" xfId="0" applyFont="1" applyBorder="1" applyAlignment="1">
      <alignment vertical="center"/>
    </xf>
    <xf numFmtId="0" fontId="23" fillId="0" borderId="1" xfId="1" applyFont="1" applyBorder="1" applyAlignment="1">
      <alignment vertical="top" wrapText="1"/>
    </xf>
    <xf numFmtId="20" fontId="8" fillId="0" borderId="1" xfId="0" applyNumberFormat="1" applyFont="1" applyBorder="1" applyAlignment="1">
      <alignment horizontal="center" vertical="center"/>
    </xf>
    <xf numFmtId="20" fontId="4" fillId="0" borderId="0" xfId="0" applyNumberFormat="1" applyFont="1" applyAlignment="1">
      <alignment vertical="center"/>
    </xf>
    <xf numFmtId="0" fontId="4" fillId="0" borderId="11" xfId="0" applyFont="1" applyBorder="1" applyAlignment="1">
      <alignment horizontal="center" vertical="center"/>
    </xf>
    <xf numFmtId="14" fontId="4" fillId="6" borderId="1" xfId="0" applyNumberFormat="1" applyFont="1" applyFill="1" applyBorder="1" applyAlignment="1">
      <alignment horizontal="left" vertical="center"/>
    </xf>
    <xf numFmtId="0" fontId="4" fillId="0" borderId="0" xfId="0" applyFont="1" applyAlignment="1">
      <alignment horizontal="left" vertical="center"/>
    </xf>
    <xf numFmtId="0" fontId="4" fillId="0" borderId="8" xfId="0" applyFont="1" applyBorder="1" applyAlignment="1">
      <alignment horizontal="left" vertical="center"/>
    </xf>
    <xf numFmtId="0" fontId="4" fillId="0" borderId="3" xfId="0" applyFont="1" applyBorder="1" applyAlignment="1">
      <alignment horizontal="left" vertical="center"/>
    </xf>
    <xf numFmtId="14" fontId="4" fillId="0" borderId="1" xfId="0" applyNumberFormat="1" applyFont="1" applyBorder="1" applyAlignment="1">
      <alignment horizontal="center" vertical="center"/>
    </xf>
    <xf numFmtId="0" fontId="24" fillId="0" borderId="0" xfId="0" applyFont="1" applyAlignment="1">
      <alignment vertical="center"/>
    </xf>
    <xf numFmtId="0" fontId="17" fillId="0" borderId="0" xfId="0" applyFont="1" applyAlignment="1">
      <alignment vertical="center"/>
    </xf>
    <xf numFmtId="0" fontId="4" fillId="6" borderId="1" xfId="0" applyFont="1" applyFill="1" applyBorder="1" applyAlignment="1">
      <alignment vertical="center" wrapText="1"/>
    </xf>
    <xf numFmtId="20" fontId="8" fillId="0" borderId="10" xfId="0" applyNumberFormat="1" applyFont="1" applyBorder="1" applyAlignment="1">
      <alignment horizontal="center" vertical="center"/>
    </xf>
    <xf numFmtId="0" fontId="4" fillId="0" borderId="10" xfId="0" applyFont="1" applyBorder="1" applyAlignment="1">
      <alignment vertical="center" wrapText="1"/>
    </xf>
    <xf numFmtId="0" fontId="4" fillId="0" borderId="10" xfId="0" applyFont="1" applyBorder="1" applyAlignment="1">
      <alignment vertical="center"/>
    </xf>
    <xf numFmtId="14" fontId="4" fillId="6" borderId="10" xfId="0" applyNumberFormat="1" applyFont="1" applyFill="1" applyBorder="1" applyAlignment="1">
      <alignment horizontal="left" vertical="center"/>
    </xf>
    <xf numFmtId="0" fontId="4" fillId="6" borderId="10" xfId="0" applyFont="1" applyFill="1" applyBorder="1" applyAlignment="1">
      <alignment vertical="center"/>
    </xf>
    <xf numFmtId="0" fontId="4" fillId="0" borderId="12" xfId="0" applyFont="1" applyBorder="1" applyAlignment="1">
      <alignment vertical="center" wrapText="1"/>
    </xf>
    <xf numFmtId="0" fontId="4" fillId="0" borderId="12" xfId="0" applyFont="1" applyBorder="1" applyAlignment="1">
      <alignment vertical="center"/>
    </xf>
    <xf numFmtId="14" fontId="4" fillId="6" borderId="12" xfId="0" applyNumberFormat="1" applyFont="1" applyFill="1" applyBorder="1" applyAlignment="1">
      <alignment horizontal="left" vertical="center"/>
    </xf>
    <xf numFmtId="0" fontId="4" fillId="6" borderId="12" xfId="0" applyFont="1" applyFill="1" applyBorder="1" applyAlignment="1">
      <alignment vertical="center"/>
    </xf>
    <xf numFmtId="20" fontId="21" fillId="0" borderId="12" xfId="0" applyNumberFormat="1" applyFont="1" applyBorder="1" applyAlignment="1">
      <alignment horizontal="center" vertical="center"/>
    </xf>
    <xf numFmtId="20" fontId="21"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3" xfId="0" applyFont="1" applyFill="1" applyBorder="1" applyAlignment="1">
      <alignment horizontal="center" vertical="center"/>
    </xf>
    <xf numFmtId="0" fontId="12" fillId="9" borderId="10" xfId="1" applyFont="1" applyFill="1" applyBorder="1" applyAlignment="1">
      <alignment horizontal="center" vertical="center"/>
    </xf>
    <xf numFmtId="0" fontId="12" fillId="9" borderId="12" xfId="1" applyFont="1" applyFill="1" applyBorder="1" applyAlignment="1">
      <alignment horizontal="center" vertical="center"/>
    </xf>
    <xf numFmtId="0" fontId="12" fillId="0" borderId="10" xfId="1" applyFont="1" applyBorder="1" applyAlignment="1">
      <alignment horizontal="center" vertical="top" wrapText="1"/>
    </xf>
    <xf numFmtId="0" fontId="12" fillId="0" borderId="12" xfId="1" applyFont="1" applyBorder="1" applyAlignment="1">
      <alignment horizontal="center" vertical="top"/>
    </xf>
    <xf numFmtId="0" fontId="12" fillId="0" borderId="10" xfId="1" applyFont="1" applyBorder="1" applyAlignment="1">
      <alignment horizontal="left" vertical="top" wrapText="1"/>
    </xf>
    <xf numFmtId="0" fontId="12" fillId="0" borderId="12" xfId="1" applyFont="1" applyBorder="1" applyAlignment="1">
      <alignment horizontal="left" vertical="top" wrapText="1"/>
    </xf>
    <xf numFmtId="0" fontId="13" fillId="0" borderId="10" xfId="1" applyFont="1" applyBorder="1" applyAlignment="1">
      <alignment horizontal="center" vertical="top"/>
    </xf>
    <xf numFmtId="0" fontId="13" fillId="0" borderId="12" xfId="1" applyFont="1" applyBorder="1" applyAlignment="1">
      <alignment horizontal="center" vertical="top"/>
    </xf>
    <xf numFmtId="0" fontId="15" fillId="0" borderId="10" xfId="1" applyFont="1" applyBorder="1" applyAlignment="1">
      <alignment horizontal="left" vertical="top" wrapText="1"/>
    </xf>
    <xf numFmtId="0" fontId="15" fillId="0" borderId="12" xfId="1" applyFont="1" applyBorder="1" applyAlignment="1">
      <alignment horizontal="left" vertical="top" wrapText="1"/>
    </xf>
    <xf numFmtId="0" fontId="16" fillId="0" borderId="10" xfId="1" applyFont="1" applyBorder="1" applyAlignment="1">
      <alignment horizontal="center" vertical="top" wrapText="1"/>
    </xf>
    <xf numFmtId="0" fontId="16" fillId="0" borderId="12" xfId="1" applyFont="1" applyBorder="1" applyAlignment="1">
      <alignment horizontal="center" vertical="top"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6" borderId="1" xfId="0" applyFont="1" applyFill="1" applyBorder="1" applyAlignment="1">
      <alignment vertical="center"/>
    </xf>
    <xf numFmtId="0" fontId="4" fillId="0" borderId="1" xfId="0" applyFont="1" applyBorder="1" applyAlignment="1">
      <alignment vertical="center"/>
    </xf>
  </cellXfs>
  <cellStyles count="2">
    <cellStyle name="Normal" xfId="0" builtinId="0"/>
    <cellStyle name="標準 2" xfId="1" xr:uid="{00000000-0005-0000-0000-000001000000}"/>
  </cellStyles>
  <dxfs count="0"/>
  <tableStyles count="0" defaultTableStyle="TableStyleMedium2" defaultPivotStyle="PivotStyleLight16"/>
  <colors>
    <mruColors>
      <color rgb="FFFFCCFF"/>
      <color rgb="FFCCFFFF"/>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14</xdr:col>
      <xdr:colOff>125507</xdr:colOff>
      <xdr:row>8</xdr:row>
      <xdr:rowOff>197225</xdr:rowOff>
    </xdr:from>
    <xdr:to>
      <xdr:col>41</xdr:col>
      <xdr:colOff>56839</xdr:colOff>
      <xdr:row>35</xdr:row>
      <xdr:rowOff>100629</xdr:rowOff>
    </xdr:to>
    <xdr:pic>
      <xdr:nvPicPr>
        <xdr:cNvPr id="2" name="図 1">
          <a:extLst>
            <a:ext uri="{FF2B5EF4-FFF2-40B4-BE49-F238E27FC236}">
              <a16:creationId xmlns:a16="http://schemas.microsoft.com/office/drawing/2014/main" id="{18C24617-4C0C-06DF-AD94-7E7BE198802B}"/>
            </a:ext>
          </a:extLst>
        </xdr:cNvPr>
        <xdr:cNvPicPr>
          <a:picLocks noChangeAspect="1"/>
        </xdr:cNvPicPr>
      </xdr:nvPicPr>
      <xdr:blipFill>
        <a:blip xmlns:r="http://schemas.openxmlformats.org/officeDocument/2006/relationships" r:embed="rId1"/>
        <a:stretch>
          <a:fillRect/>
        </a:stretch>
      </xdr:blipFill>
      <xdr:spPr>
        <a:xfrm>
          <a:off x="10506636" y="2286001"/>
          <a:ext cx="17842815" cy="64207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35718</xdr:colOff>
          <xdr:row>16</xdr:row>
          <xdr:rowOff>47625</xdr:rowOff>
        </xdr:from>
        <xdr:to>
          <xdr:col>7</xdr:col>
          <xdr:colOff>1369218</xdr:colOff>
          <xdr:row>27</xdr:row>
          <xdr:rowOff>57150</xdr:rowOff>
        </xdr:to>
        <xdr:pic>
          <xdr:nvPicPr>
            <xdr:cNvPr id="3" name="図 2">
              <a:extLst>
                <a:ext uri="{FF2B5EF4-FFF2-40B4-BE49-F238E27FC236}">
                  <a16:creationId xmlns:a16="http://schemas.microsoft.com/office/drawing/2014/main" id="{479FF804-BDD0-0C42-7CEC-899E90707C7E}"/>
                </a:ext>
              </a:extLst>
            </xdr:cNvPr>
            <xdr:cNvPicPr>
              <a:picLocks noChangeAspect="1" noChangeArrowheads="1"/>
              <a:extLst>
                <a:ext uri="{84589F7E-364E-4C9E-8A38-B11213B215E9}">
                  <a14:cameraTool cellRange="summary!$B$3:$H$12" spid="_x0000_s14592"/>
                </a:ext>
              </a:extLst>
            </xdr:cNvPicPr>
          </xdr:nvPicPr>
          <xdr:blipFill>
            <a:blip xmlns:r="http://schemas.openxmlformats.org/officeDocument/2006/relationships" r:embed="rId1"/>
            <a:srcRect/>
            <a:stretch>
              <a:fillRect/>
            </a:stretch>
          </xdr:blipFill>
          <xdr:spPr bwMode="auto">
            <a:xfrm>
              <a:off x="892968" y="3357563"/>
              <a:ext cx="5107781" cy="223599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44824</xdr:colOff>
          <xdr:row>15</xdr:row>
          <xdr:rowOff>206188</xdr:rowOff>
        </xdr:from>
        <xdr:to>
          <xdr:col>8</xdr:col>
          <xdr:colOff>337297</xdr:colOff>
          <xdr:row>28</xdr:row>
          <xdr:rowOff>2354</xdr:rowOff>
        </xdr:to>
        <xdr:pic>
          <xdr:nvPicPr>
            <xdr:cNvPr id="3" name="図 2">
              <a:extLst>
                <a:ext uri="{FF2B5EF4-FFF2-40B4-BE49-F238E27FC236}">
                  <a16:creationId xmlns:a16="http://schemas.microsoft.com/office/drawing/2014/main" id="{9EF5B91A-6017-D1D1-C7AA-E76BB9C1F683}"/>
                </a:ext>
              </a:extLst>
            </xdr:cNvPr>
            <xdr:cNvPicPr>
              <a:picLocks noChangeAspect="1" noChangeArrowheads="1"/>
              <a:extLst>
                <a:ext uri="{84589F7E-364E-4C9E-8A38-B11213B215E9}">
                  <a14:cameraTool cellRange="summary!$B$16:$H$26" spid="_x0000_s17649"/>
                </a:ext>
              </a:extLst>
            </xdr:cNvPicPr>
          </xdr:nvPicPr>
          <xdr:blipFill>
            <a:blip xmlns:r="http://schemas.openxmlformats.org/officeDocument/2006/relationships" r:embed="rId1"/>
            <a:srcRect/>
            <a:stretch>
              <a:fillRect/>
            </a:stretch>
          </xdr:blipFill>
          <xdr:spPr bwMode="auto">
            <a:xfrm>
              <a:off x="1667436" y="3738282"/>
              <a:ext cx="5644402" cy="281222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3</xdr:col>
      <xdr:colOff>39546</xdr:colOff>
      <xdr:row>12</xdr:row>
      <xdr:rowOff>197829</xdr:rowOff>
    </xdr:from>
    <xdr:to>
      <xdr:col>6</xdr:col>
      <xdr:colOff>1142999</xdr:colOff>
      <xdr:row>26</xdr:row>
      <xdr:rowOff>103729</xdr:rowOff>
    </xdr:to>
    <xdr:pic>
      <xdr:nvPicPr>
        <xdr:cNvPr id="4" name="図 3">
          <a:extLst>
            <a:ext uri="{FF2B5EF4-FFF2-40B4-BE49-F238E27FC236}">
              <a16:creationId xmlns:a16="http://schemas.microsoft.com/office/drawing/2014/main" id="{A3A3E1B8-7683-DDA2-C62E-3E75C12B3EDB}"/>
            </a:ext>
          </a:extLst>
        </xdr:cNvPr>
        <xdr:cNvPicPr>
          <a:picLocks noChangeAspect="1"/>
        </xdr:cNvPicPr>
      </xdr:nvPicPr>
      <xdr:blipFill>
        <a:blip xmlns:r="http://schemas.openxmlformats.org/officeDocument/2006/relationships" r:embed="rId1"/>
        <a:stretch>
          <a:fillRect/>
        </a:stretch>
      </xdr:blipFill>
      <xdr:spPr>
        <a:xfrm>
          <a:off x="896796" y="2698142"/>
          <a:ext cx="4365766" cy="27395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17</xdr:row>
          <xdr:rowOff>0</xdr:rowOff>
        </xdr:from>
        <xdr:to>
          <xdr:col>7</xdr:col>
          <xdr:colOff>57150</xdr:colOff>
          <xdr:row>27</xdr:row>
          <xdr:rowOff>15240</xdr:rowOff>
        </xdr:to>
        <xdr:pic>
          <xdr:nvPicPr>
            <xdr:cNvPr id="5" name="図 4">
              <a:extLst>
                <a:ext uri="{FF2B5EF4-FFF2-40B4-BE49-F238E27FC236}">
                  <a16:creationId xmlns:a16="http://schemas.microsoft.com/office/drawing/2014/main" id="{5DDC47BC-3AF0-3751-076A-D8D37C36FBBA}"/>
                </a:ext>
              </a:extLst>
            </xdr:cNvPr>
            <xdr:cNvPicPr>
              <a:picLocks noChangeAspect="1" noChangeArrowheads="1"/>
              <a:extLst>
                <a:ext uri="{84589F7E-364E-4C9E-8A38-B11213B215E9}">
                  <a14:cameraTool cellRange="summary!$B$67:$H$76" spid="_x0000_s5529"/>
                </a:ext>
              </a:extLst>
            </xdr:cNvPicPr>
          </xdr:nvPicPr>
          <xdr:blipFill>
            <a:blip xmlns:r="http://schemas.openxmlformats.org/officeDocument/2006/relationships" r:embed="rId1"/>
            <a:srcRect/>
            <a:stretch>
              <a:fillRect/>
            </a:stretch>
          </xdr:blipFill>
          <xdr:spPr bwMode="auto">
            <a:xfrm>
              <a:off x="967740" y="3695700"/>
              <a:ext cx="5737860" cy="229362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doc2lang.com/preview/kchvhkVZ_69N" TargetMode="External"/><Relationship Id="rId18" Type="http://schemas.openxmlformats.org/officeDocument/2006/relationships/hyperlink" Target="https://doc2lang.com/preview/kchvhkVZ_69N" TargetMode="External"/><Relationship Id="rId26" Type="http://schemas.openxmlformats.org/officeDocument/2006/relationships/hyperlink" Target="https://doc2lang.com/preview/kchvhkVZ_69N" TargetMode="External"/><Relationship Id="rId39" Type="http://schemas.openxmlformats.org/officeDocument/2006/relationships/hyperlink" Target="https://doc2lang.com/preview/kchvhkVZ_69N" TargetMode="External"/><Relationship Id="rId21" Type="http://schemas.openxmlformats.org/officeDocument/2006/relationships/hyperlink" Target="https://doc2lang.com/preview/kchvhkVZ_69N" TargetMode="External"/><Relationship Id="rId34" Type="http://schemas.openxmlformats.org/officeDocument/2006/relationships/hyperlink" Target="https://doc2lang.com/preview/kchvhkVZ_69N" TargetMode="External"/><Relationship Id="rId42" Type="http://schemas.openxmlformats.org/officeDocument/2006/relationships/hyperlink" Target="https://doc2lang.com/preview/kchvhkVZ_69N" TargetMode="External"/><Relationship Id="rId47" Type="http://schemas.openxmlformats.org/officeDocument/2006/relationships/hyperlink" Target="https://doc2lang.com/preview/kchvhkVZ_69N" TargetMode="External"/><Relationship Id="rId7" Type="http://schemas.openxmlformats.org/officeDocument/2006/relationships/hyperlink" Target="https://doc2lang.com/preview/kchvhkVZ_69N" TargetMode="External"/><Relationship Id="rId2" Type="http://schemas.openxmlformats.org/officeDocument/2006/relationships/hyperlink" Target="https://doc2lang.com/preview/kchvhkVZ_69N" TargetMode="External"/><Relationship Id="rId16" Type="http://schemas.openxmlformats.org/officeDocument/2006/relationships/hyperlink" Target="https://doc2lang.com/preview/kchvhkVZ_69N" TargetMode="External"/><Relationship Id="rId29" Type="http://schemas.openxmlformats.org/officeDocument/2006/relationships/hyperlink" Target="https://doc2lang.com/preview/kchvhkVZ_69N" TargetMode="External"/><Relationship Id="rId11" Type="http://schemas.openxmlformats.org/officeDocument/2006/relationships/hyperlink" Target="https://doc2lang.com/preview/kchvhkVZ_69N" TargetMode="External"/><Relationship Id="rId24" Type="http://schemas.openxmlformats.org/officeDocument/2006/relationships/hyperlink" Target="https://doc2lang.com/preview/kchvhkVZ_69N" TargetMode="External"/><Relationship Id="rId32" Type="http://schemas.openxmlformats.org/officeDocument/2006/relationships/hyperlink" Target="https://doc2lang.com/preview/kchvhkVZ_69N" TargetMode="External"/><Relationship Id="rId37" Type="http://schemas.openxmlformats.org/officeDocument/2006/relationships/hyperlink" Target="https://doc2lang.com/preview/kchvhkVZ_69N" TargetMode="External"/><Relationship Id="rId40" Type="http://schemas.openxmlformats.org/officeDocument/2006/relationships/hyperlink" Target="https://doc2lang.com/preview/kchvhkVZ_69N" TargetMode="External"/><Relationship Id="rId45" Type="http://schemas.openxmlformats.org/officeDocument/2006/relationships/hyperlink" Target="https://doc2lang.com/preview/kchvhkVZ_69N" TargetMode="External"/><Relationship Id="rId5" Type="http://schemas.openxmlformats.org/officeDocument/2006/relationships/hyperlink" Target="https://doc2lang.com/preview/kchvhkVZ_69N" TargetMode="External"/><Relationship Id="rId15" Type="http://schemas.openxmlformats.org/officeDocument/2006/relationships/hyperlink" Target="https://doc2lang.com/preview/kchvhkVZ_69N" TargetMode="External"/><Relationship Id="rId23" Type="http://schemas.openxmlformats.org/officeDocument/2006/relationships/hyperlink" Target="https://doc2lang.com/preview/kchvhkVZ_69N" TargetMode="External"/><Relationship Id="rId28" Type="http://schemas.openxmlformats.org/officeDocument/2006/relationships/hyperlink" Target="https://doc2lang.com/preview/kchvhkVZ_69N" TargetMode="External"/><Relationship Id="rId36" Type="http://schemas.openxmlformats.org/officeDocument/2006/relationships/hyperlink" Target="https://doc2lang.com/preview/kchvhkVZ_69N" TargetMode="External"/><Relationship Id="rId49" Type="http://schemas.openxmlformats.org/officeDocument/2006/relationships/printerSettings" Target="../printerSettings/printerSettings2.bin"/><Relationship Id="rId10" Type="http://schemas.openxmlformats.org/officeDocument/2006/relationships/hyperlink" Target="https://doc2lang.com/preview/kchvhkVZ_69N" TargetMode="External"/><Relationship Id="rId19" Type="http://schemas.openxmlformats.org/officeDocument/2006/relationships/hyperlink" Target="https://doc2lang.com/preview/kchvhkVZ_69N" TargetMode="External"/><Relationship Id="rId31" Type="http://schemas.openxmlformats.org/officeDocument/2006/relationships/hyperlink" Target="https://doc2lang.com/preview/kchvhkVZ_69N" TargetMode="External"/><Relationship Id="rId44" Type="http://schemas.openxmlformats.org/officeDocument/2006/relationships/hyperlink" Target="https://doc2lang.com/preview/kchvhkVZ_69N" TargetMode="External"/><Relationship Id="rId4" Type="http://schemas.openxmlformats.org/officeDocument/2006/relationships/hyperlink" Target="https://doc2lang.com/preview/kchvhkVZ_69N" TargetMode="External"/><Relationship Id="rId9" Type="http://schemas.openxmlformats.org/officeDocument/2006/relationships/hyperlink" Target="https://doc2lang.com/preview/kchvhkVZ_69N" TargetMode="External"/><Relationship Id="rId14" Type="http://schemas.openxmlformats.org/officeDocument/2006/relationships/hyperlink" Target="https://doc2lang.com/preview/kchvhkVZ_69N" TargetMode="External"/><Relationship Id="rId22" Type="http://schemas.openxmlformats.org/officeDocument/2006/relationships/hyperlink" Target="https://doc2lang.com/preview/kchvhkVZ_69N" TargetMode="External"/><Relationship Id="rId27" Type="http://schemas.openxmlformats.org/officeDocument/2006/relationships/hyperlink" Target="https://doc2lang.com/preview/kchvhkVZ_69N" TargetMode="External"/><Relationship Id="rId30" Type="http://schemas.openxmlformats.org/officeDocument/2006/relationships/hyperlink" Target="https://doc2lang.com/preview/kchvhkVZ_69N" TargetMode="External"/><Relationship Id="rId35" Type="http://schemas.openxmlformats.org/officeDocument/2006/relationships/hyperlink" Target="https://doc2lang.com/preview/kchvhkVZ_69N" TargetMode="External"/><Relationship Id="rId43" Type="http://schemas.openxmlformats.org/officeDocument/2006/relationships/hyperlink" Target="https://doc2lang.com/preview/kchvhkVZ_69N" TargetMode="External"/><Relationship Id="rId48" Type="http://schemas.openxmlformats.org/officeDocument/2006/relationships/hyperlink" Target="https://doc2lang.com/preview/kchvhkVZ_69N" TargetMode="External"/><Relationship Id="rId8" Type="http://schemas.openxmlformats.org/officeDocument/2006/relationships/hyperlink" Target="https://doc2lang.com/preview/kchvhkVZ_69N" TargetMode="External"/><Relationship Id="rId3" Type="http://schemas.openxmlformats.org/officeDocument/2006/relationships/hyperlink" Target="https://doc2lang.com/preview/kchvhkVZ_69N" TargetMode="External"/><Relationship Id="rId12" Type="http://schemas.openxmlformats.org/officeDocument/2006/relationships/hyperlink" Target="https://doc2lang.com/preview/kchvhkVZ_69N" TargetMode="External"/><Relationship Id="rId17" Type="http://schemas.openxmlformats.org/officeDocument/2006/relationships/hyperlink" Target="https://doc2lang.com/preview/kchvhkVZ_69N" TargetMode="External"/><Relationship Id="rId25" Type="http://schemas.openxmlformats.org/officeDocument/2006/relationships/hyperlink" Target="https://doc2lang.com/preview/kchvhkVZ_69N" TargetMode="External"/><Relationship Id="rId33" Type="http://schemas.openxmlformats.org/officeDocument/2006/relationships/hyperlink" Target="https://doc2lang.com/preview/kchvhkVZ_69N" TargetMode="External"/><Relationship Id="rId38" Type="http://schemas.openxmlformats.org/officeDocument/2006/relationships/hyperlink" Target="https://doc2lang.com/preview/kchvhkVZ_69N" TargetMode="External"/><Relationship Id="rId46" Type="http://schemas.openxmlformats.org/officeDocument/2006/relationships/hyperlink" Target="https://doc2lang.com/preview/kchvhkVZ_69N" TargetMode="External"/><Relationship Id="rId20" Type="http://schemas.openxmlformats.org/officeDocument/2006/relationships/hyperlink" Target="https://doc2lang.com/preview/kchvhkVZ_69N" TargetMode="External"/><Relationship Id="rId41" Type="http://schemas.openxmlformats.org/officeDocument/2006/relationships/hyperlink" Target="https://doc2lang.com/preview/kchvhkVZ_69N" TargetMode="External"/><Relationship Id="rId1" Type="http://schemas.openxmlformats.org/officeDocument/2006/relationships/hyperlink" Target="https://doc2lang.com/preview/kchvhkVZ_69N" TargetMode="External"/><Relationship Id="rId6" Type="http://schemas.openxmlformats.org/officeDocument/2006/relationships/hyperlink" Target="https://doc2lang.com/preview/kchvhkVZ_69N"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08538-47CD-48E1-B935-DF4656414FBA}">
  <dimension ref="A1:C12"/>
  <sheetViews>
    <sheetView workbookViewId="0">
      <selection activeCell="E19" sqref="E19"/>
    </sheetView>
  </sheetViews>
  <sheetFormatPr defaultRowHeight="14.5"/>
  <sheetData>
    <row r="1" spans="1:3" s="2" customFormat="1" ht="15">
      <c r="A1" s="1" t="s">
        <v>0</v>
      </c>
      <c r="B1" s="1"/>
      <c r="C1" s="1"/>
    </row>
    <row r="2" spans="1:3" s="2" customFormat="1" ht="15">
      <c r="A2" s="1"/>
      <c r="B2" s="1"/>
      <c r="C2" s="1"/>
    </row>
    <row r="3" spans="1:3" s="2" customFormat="1" ht="15">
      <c r="A3" s="3" t="s">
        <v>1</v>
      </c>
      <c r="B3" s="1"/>
      <c r="C3" s="1"/>
    </row>
    <row r="4" spans="1:3" s="2" customFormat="1" ht="15">
      <c r="A4" s="3"/>
      <c r="B4" s="1"/>
      <c r="C4" s="1"/>
    </row>
    <row r="5" spans="1:3" s="2" customFormat="1" ht="15">
      <c r="A5" s="3" t="s">
        <v>2</v>
      </c>
      <c r="B5" s="1"/>
      <c r="C5" s="1"/>
    </row>
    <row r="6" spans="1:3" s="2" customFormat="1" ht="15">
      <c r="A6" s="3" t="s">
        <v>3</v>
      </c>
      <c r="B6" s="1"/>
      <c r="C6" s="1"/>
    </row>
    <row r="7" spans="1:3" s="2" customFormat="1" ht="15">
      <c r="A7" s="3" t="s">
        <v>4</v>
      </c>
      <c r="B7" s="1"/>
      <c r="C7" s="1"/>
    </row>
    <row r="8" spans="1:3" s="2" customFormat="1" ht="15">
      <c r="A8" s="1"/>
      <c r="B8" s="1"/>
      <c r="C8" s="1"/>
    </row>
    <row r="11" spans="1:3" ht="15">
      <c r="A11" s="3" t="s">
        <v>5</v>
      </c>
    </row>
    <row r="12" spans="1:3" ht="15">
      <c r="A12" s="2" t="s">
        <v>6</v>
      </c>
    </row>
  </sheetData>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A687-BB56-428C-8342-7F2AF075BE50}">
  <sheetPr>
    <tabColor rgb="FF92D050"/>
    <pageSetUpPr fitToPage="1"/>
  </sheetPr>
  <dimension ref="B2:J15"/>
  <sheetViews>
    <sheetView view="pageBreakPreview" topLeftCell="A9" zoomScale="85" zoomScaleNormal="70" zoomScaleSheetLayoutView="85" workbookViewId="0">
      <selection activeCell="E5" sqref="E5"/>
    </sheetView>
  </sheetViews>
  <sheetFormatPr defaultColWidth="8.7265625" defaultRowHeight="14.5"/>
  <cols>
    <col min="1" max="1" width="1.81640625" style="51" customWidth="1"/>
    <col min="2" max="2" width="11.1796875" style="51" customWidth="1"/>
    <col min="3" max="3" width="23.1796875" style="51" customWidth="1"/>
    <col min="4" max="4" width="48.1796875" style="51" customWidth="1"/>
    <col min="5" max="5" width="31.81640625" style="51" customWidth="1"/>
    <col min="6" max="6" width="94.81640625" style="51" customWidth="1"/>
    <col min="7" max="7" width="42.26953125" style="51" customWidth="1"/>
    <col min="8" max="8" width="32.1796875" style="51" customWidth="1"/>
    <col min="9" max="9" width="8.7265625" style="51"/>
    <col min="10" max="10" width="59.54296875" style="51" customWidth="1"/>
    <col min="11" max="16384" width="8.7265625" style="51"/>
  </cols>
  <sheetData>
    <row r="2" spans="2:10" ht="26">
      <c r="C2" s="52" t="s">
        <v>7</v>
      </c>
      <c r="D2" s="52" t="s">
        <v>8</v>
      </c>
      <c r="H2" s="53">
        <v>45951</v>
      </c>
    </row>
    <row r="4" spans="2:10">
      <c r="B4" s="54" t="s">
        <v>9</v>
      </c>
      <c r="C4" s="55" t="s">
        <v>10</v>
      </c>
      <c r="D4" s="55" t="s">
        <v>11</v>
      </c>
      <c r="E4" s="55" t="s">
        <v>12</v>
      </c>
      <c r="F4" s="54" t="s">
        <v>13</v>
      </c>
      <c r="G4" s="54" t="s">
        <v>14</v>
      </c>
      <c r="H4" s="56" t="s">
        <v>15</v>
      </c>
    </row>
    <row r="5" spans="2:10" ht="290">
      <c r="B5" s="57" t="s">
        <v>16</v>
      </c>
      <c r="C5" s="58" t="s">
        <v>17</v>
      </c>
      <c r="D5" s="59" t="s">
        <v>18</v>
      </c>
      <c r="E5" s="59" t="s">
        <v>19</v>
      </c>
      <c r="F5" s="60" t="s">
        <v>20</v>
      </c>
      <c r="G5" s="61"/>
      <c r="H5" s="62" t="s">
        <v>21</v>
      </c>
    </row>
    <row r="6" spans="2:10">
      <c r="B6" s="117" t="s">
        <v>22</v>
      </c>
      <c r="C6" s="119" t="s">
        <v>23</v>
      </c>
      <c r="D6" s="58" t="s">
        <v>23</v>
      </c>
      <c r="E6" s="121" t="s">
        <v>23</v>
      </c>
      <c r="F6" s="125" t="s">
        <v>23</v>
      </c>
      <c r="G6" s="127"/>
      <c r="H6" s="123"/>
      <c r="J6" s="79" t="s">
        <v>23</v>
      </c>
    </row>
    <row r="7" spans="2:10">
      <c r="B7" s="118"/>
      <c r="C7" s="120"/>
      <c r="D7" s="58" t="s">
        <v>23</v>
      </c>
      <c r="E7" s="122"/>
      <c r="F7" s="126"/>
      <c r="G7" s="128"/>
      <c r="H7" s="124"/>
    </row>
    <row r="8" spans="2:10" ht="43.5">
      <c r="B8" s="63" t="s">
        <v>23</v>
      </c>
      <c r="C8" s="64" t="s">
        <v>23</v>
      </c>
      <c r="D8" s="64" t="s">
        <v>23</v>
      </c>
      <c r="E8" s="64" t="s">
        <v>23</v>
      </c>
      <c r="F8" s="65" t="s">
        <v>23</v>
      </c>
      <c r="G8" s="66" t="s">
        <v>23</v>
      </c>
      <c r="H8" s="62" t="s">
        <v>23</v>
      </c>
    </row>
    <row r="9" spans="2:10" ht="122.5" customHeight="1">
      <c r="B9" s="63" t="s">
        <v>23</v>
      </c>
      <c r="C9" s="58" t="s">
        <v>23</v>
      </c>
      <c r="D9" s="58" t="s">
        <v>23</v>
      </c>
      <c r="E9" s="58" t="s">
        <v>23</v>
      </c>
      <c r="F9" s="67" t="s">
        <v>23</v>
      </c>
      <c r="G9" s="84" t="s">
        <v>23</v>
      </c>
      <c r="H9" s="68"/>
    </row>
    <row r="10" spans="2:10" ht="43.5" hidden="1">
      <c r="B10" s="57" t="s">
        <v>23</v>
      </c>
      <c r="C10" s="69" t="s">
        <v>23</v>
      </c>
      <c r="D10" s="69" t="s">
        <v>23</v>
      </c>
      <c r="E10" s="69" t="s">
        <v>23</v>
      </c>
      <c r="F10" s="70" t="s">
        <v>23</v>
      </c>
      <c r="G10" s="71" t="s">
        <v>23</v>
      </c>
      <c r="H10" s="69" t="s">
        <v>23</v>
      </c>
    </row>
    <row r="11" spans="2:10" ht="179.5" customHeight="1">
      <c r="B11" s="57" t="s">
        <v>23</v>
      </c>
      <c r="C11" s="59" t="s">
        <v>23</v>
      </c>
      <c r="D11" s="59" t="s">
        <v>23</v>
      </c>
      <c r="E11" s="59" t="s">
        <v>23</v>
      </c>
      <c r="F11" s="60" t="s">
        <v>23</v>
      </c>
      <c r="G11" s="61"/>
      <c r="H11" s="72" t="s">
        <v>23</v>
      </c>
    </row>
    <row r="12" spans="2:10">
      <c r="B12" s="73"/>
      <c r="C12" s="73"/>
      <c r="D12" s="73"/>
      <c r="E12" s="73"/>
      <c r="F12" s="73"/>
      <c r="G12" s="73"/>
      <c r="H12" s="74"/>
    </row>
    <row r="13" spans="2:10">
      <c r="B13" s="73"/>
      <c r="C13" s="75"/>
      <c r="D13" s="76"/>
      <c r="E13" s="73"/>
      <c r="F13" s="77" t="s">
        <v>23</v>
      </c>
      <c r="G13" s="73"/>
      <c r="H13" s="74"/>
    </row>
    <row r="14" spans="2:10">
      <c r="B14" s="73"/>
      <c r="C14" s="73"/>
      <c r="D14" s="76"/>
      <c r="E14" s="73"/>
      <c r="F14" s="73"/>
      <c r="G14" s="73"/>
      <c r="H14" s="74"/>
    </row>
    <row r="15" spans="2:10">
      <c r="D15" s="78"/>
    </row>
  </sheetData>
  <mergeCells count="6">
    <mergeCell ref="B6:B7"/>
    <mergeCell ref="C6:C7"/>
    <mergeCell ref="E6:E7"/>
    <mergeCell ref="H6:H7"/>
    <mergeCell ref="F6:F7"/>
    <mergeCell ref="G6:G7"/>
  </mergeCells>
  <phoneticPr fontId="2"/>
  <hyperlinks>
    <hyperlink ref="C2" r:id="rId1" tooltip="doc2lang.comで全ファイルの翻訳にアップグレードdoc2lang.com" display="doc2lang.comで全ファイルの翻訳にアップグレードdoc2lang.com" xr:uid="{00000000-0004-0000-0100-000000000000}"/>
    <hyperlink ref="D2" r:id="rId2" tooltip="doc2lang.comで全ファイルの翻訳にアップグレードdoc2lang.com" display="doc2lang.comで全ファイルの翻訳にアップグレードdoc2lang.com" xr:uid="{00000000-0004-0000-0100-000001000000}"/>
    <hyperlink ref="B4" r:id="rId3" tooltip="doc2lang.comで全ファイルの翻訳にアップグレードdoc2lang.com" display="doc2lang.comで全ファイルの翻訳にアップグレードdoc2lang.com" xr:uid="{00000000-0004-0000-0100-000002000000}"/>
    <hyperlink ref="C4" r:id="rId4" tooltip="doc2lang.comで全ファイルの翻訳にアップグレードdoc2lang.com" display="doc2lang.comで全ファイルの翻訳にアップグレードdoc2lang.com" xr:uid="{00000000-0004-0000-0100-000003000000}"/>
    <hyperlink ref="D4" r:id="rId5" tooltip="doc2lang.comで全ファイルの翻訳にアップグレードdoc2lang.com" display="doc2lang.comで全ファイルの翻訳にアップグレードdoc2lang.com" xr:uid="{00000000-0004-0000-0100-000004000000}"/>
    <hyperlink ref="E4" r:id="rId6" tooltip="doc2lang.comで全ファイルの翻訳にアップグレードdoc2lang.com" display="doc2lang.comで全ファイルの翻訳にアップグレードdoc2lang.com" xr:uid="{00000000-0004-0000-0100-000005000000}"/>
    <hyperlink ref="F4" r:id="rId7" tooltip="doc2lang.comで全ファイルの翻訳にアップグレードdoc2lang.com" display="doc2lang.comで全ファイルの翻訳にアップグレードdoc2lang.com" xr:uid="{00000000-0004-0000-0100-000006000000}"/>
    <hyperlink ref="G4" r:id="rId8" tooltip="doc2lang.comで全ファイルの翻訳にアップグレードdoc2lang.com" display="doc2lang.comで全ファイルの翻訳にアップグレードdoc2lang.com" xr:uid="{00000000-0004-0000-0100-000007000000}"/>
    <hyperlink ref="H4" r:id="rId9" tooltip="doc2lang.comで全ファイルの翻訳にアップグレードdoc2lang.com" display="doc2lang.comで全ファイルの翻訳にアップグレードdoc2lang.com" xr:uid="{00000000-0004-0000-0100-000008000000}"/>
    <hyperlink ref="B5" r:id="rId10" tooltip="doc2lang.comで全ファイルの翻訳にアップグレードdoc2lang.com" display="doc2lang.comで全ファイルの翻訳にアップグレードdoc2lang.com" xr:uid="{00000000-0004-0000-0100-000009000000}"/>
    <hyperlink ref="C5" r:id="rId11" tooltip="doc2lang.comで全ファイルの翻訳にアップグレードdoc2lang.com" display="doc2lang.comで全ファイルの翻訳にアップグレードdoc2lang.com" xr:uid="{00000000-0004-0000-0100-00000A000000}"/>
    <hyperlink ref="E5" r:id="rId12" tooltip="doc2lang.comで全ファイルの翻訳にアップグレードdoc2lang.com" display="doc2lang.comで全ファイルの翻訳にアップグレードdoc2lang.com" xr:uid="{00000000-0004-0000-0100-00000C000000}"/>
    <hyperlink ref="F5" r:id="rId13" tooltip="doc2lang.comで全ファイルの翻訳にアップグレードdoc2lang.com" display="doc2lang.comで全ファイルの翻訳にアップグレードdoc2lang.com" xr:uid="{00000000-0004-0000-0100-00000D000000}"/>
    <hyperlink ref="H5" r:id="rId14" tooltip="doc2lang.comで全ファイルの翻訳にアップグレードdoc2lang.com" display="doc2lang.comで全ファイルの翻訳にアップグレードdoc2lang.com" xr:uid="{00000000-0004-0000-0100-00000E000000}"/>
    <hyperlink ref="B6" r:id="rId15" tooltip="doc2lang.comで全ファイルの翻訳にアップグレードdoc2lang.com" display="doc2lang.comで全ファイルの翻訳にアップグレードdoc2lang.com" xr:uid="{00000000-0004-0000-0100-00000F000000}"/>
    <hyperlink ref="C6" r:id="rId16" tooltip="doc2lang.comで全ファイルの翻訳にアップグレードdoc2lang.com" display="doc2lang.comで全ファイルの翻訳にアップグレードdoc2lang.com" xr:uid="{00000000-0004-0000-0100-000010000000}"/>
    <hyperlink ref="D6" r:id="rId17" tooltip="doc2lang.comで全ファイルの翻訳にアップグレードdoc2lang.com" display="doc2lang.comで全ファイルの翻訳にアップグレードdoc2lang.com" xr:uid="{00000000-0004-0000-0100-000011000000}"/>
    <hyperlink ref="E6" r:id="rId18" tooltip="doc2lang.comで全ファイルの翻訳にアップグレードdoc2lang.com" display="doc2lang.comで全ファイルの翻訳にアップグレードdoc2lang.com" xr:uid="{00000000-0004-0000-0100-000012000000}"/>
    <hyperlink ref="F6" r:id="rId19" tooltip="doc2lang.comで全ファイルの翻訳にアップグレードdoc2lang.com" display="doc2lang.comで全ファイルの翻訳にアップグレードdoc2lang.com" xr:uid="{00000000-0004-0000-0100-000013000000}"/>
    <hyperlink ref="J6" r:id="rId20" tooltip="doc2lang.comで全ファイルの翻訳にアップグレードdoc2lang.com" display="doc2lang.comで全ファイルの翻訳にアップグレードdoc2lang.com" xr:uid="{00000000-0004-0000-0100-000014000000}"/>
    <hyperlink ref="D7" r:id="rId21" tooltip="doc2lang.comで全ファイルの翻訳にアップグレードdoc2lang.com" display="doc2lang.comで全ファイルの翻訳にアップグレードdoc2lang.com" xr:uid="{00000000-0004-0000-0100-000015000000}"/>
    <hyperlink ref="B8" r:id="rId22" tooltip="doc2lang.comで全ファイルの翻訳にアップグレードdoc2lang.com" display="doc2lang.comで全ファイルの翻訳にアップグレードdoc2lang.com" xr:uid="{00000000-0004-0000-0100-000016000000}"/>
    <hyperlink ref="C8" r:id="rId23" tooltip="doc2lang.comで全ファイルの翻訳にアップグレードdoc2lang.com" display="doc2lang.comで全ファイルの翻訳にアップグレードdoc2lang.com" xr:uid="{00000000-0004-0000-0100-000017000000}"/>
    <hyperlink ref="D8" r:id="rId24" tooltip="doc2lang.comで全ファイルの翻訳にアップグレードdoc2lang.com" display="doc2lang.comで全ファイルの翻訳にアップグレードdoc2lang.com" xr:uid="{00000000-0004-0000-0100-000018000000}"/>
    <hyperlink ref="E8" r:id="rId25" tooltip="doc2lang.comで全ファイルの翻訳にアップグレードdoc2lang.com" display="doc2lang.comで全ファイルの翻訳にアップグレードdoc2lang.com" xr:uid="{00000000-0004-0000-0100-000019000000}"/>
    <hyperlink ref="F8" r:id="rId26" tooltip="doc2lang.comで全ファイルの翻訳にアップグレードdoc2lang.com" display="doc2lang.comで全ファイルの翻訳にアップグレードdoc2lang.com" xr:uid="{00000000-0004-0000-0100-00001A000000}"/>
    <hyperlink ref="G8" r:id="rId27" tooltip="doc2lang.comで全ファイルの翻訳にアップグレードdoc2lang.com" display="doc2lang.comで全ファイルの翻訳にアップグレードdoc2lang.com" xr:uid="{00000000-0004-0000-0100-00001B000000}"/>
    <hyperlink ref="H8" r:id="rId28" tooltip="doc2lang.comで全ファイルの翻訳にアップグレードdoc2lang.com" display="doc2lang.comで全ファイルの翻訳にアップグレードdoc2lang.com" xr:uid="{00000000-0004-0000-0100-00001C000000}"/>
    <hyperlink ref="B9" r:id="rId29" tooltip="doc2lang.comで全ファイルの翻訳にアップグレードdoc2lang.com" display="doc2lang.comで全ファイルの翻訳にアップグレードdoc2lang.com" xr:uid="{00000000-0004-0000-0100-00001D000000}"/>
    <hyperlink ref="C9" r:id="rId30" tooltip="doc2lang.comで全ファイルの翻訳にアップグレードdoc2lang.com" display="doc2lang.comで全ファイルの翻訳にアップグレードdoc2lang.com" xr:uid="{00000000-0004-0000-0100-00001E000000}"/>
    <hyperlink ref="D9" r:id="rId31" tooltip="doc2lang.comで全ファイルの翻訳にアップグレードdoc2lang.com" display="doc2lang.comで全ファイルの翻訳にアップグレードdoc2lang.com" xr:uid="{00000000-0004-0000-0100-00001F000000}"/>
    <hyperlink ref="E9" r:id="rId32" tooltip="doc2lang.comで全ファイルの翻訳にアップグレードdoc2lang.com" display="doc2lang.comで全ファイルの翻訳にアップグレードdoc2lang.com" xr:uid="{00000000-0004-0000-0100-000020000000}"/>
    <hyperlink ref="F9" r:id="rId33" tooltip="doc2lang.comで全ファイルの翻訳にアップグレードdoc2lang.com" display="doc2lang.comで全ファイルの翻訳にアップグレードdoc2lang.com" xr:uid="{00000000-0004-0000-0100-000021000000}"/>
    <hyperlink ref="G9" r:id="rId34" tooltip="doc2lang.comで全ファイルの翻訳にアップグレードdoc2lang.com" display="doc2lang.comで全ファイルの翻訳にアップグレードdoc2lang.com" xr:uid="{00000000-0004-0000-0100-000022000000}"/>
    <hyperlink ref="B10" r:id="rId35" tooltip="doc2lang.comで全ファイルの翻訳にアップグレードdoc2lang.com" display="doc2lang.comで全ファイルの翻訳にアップグレードdoc2lang.com" xr:uid="{00000000-0004-0000-0100-000023000000}"/>
    <hyperlink ref="C10" r:id="rId36" tooltip="doc2lang.comで全ファイルの翻訳にアップグレードdoc2lang.com" display="doc2lang.comで全ファイルの翻訳にアップグレードdoc2lang.com" xr:uid="{00000000-0004-0000-0100-000024000000}"/>
    <hyperlink ref="D10" r:id="rId37" tooltip="doc2lang.comで全ファイルの翻訳にアップグレードdoc2lang.com" display="doc2lang.comで全ファイルの翻訳にアップグレードdoc2lang.com" xr:uid="{00000000-0004-0000-0100-000025000000}"/>
    <hyperlink ref="E10" r:id="rId38" tooltip="doc2lang.comで全ファイルの翻訳にアップグレードdoc2lang.com" display="doc2lang.comで全ファイルの翻訳にアップグレードdoc2lang.com" xr:uid="{00000000-0004-0000-0100-000026000000}"/>
    <hyperlink ref="F10" r:id="rId39" tooltip="doc2lang.comで全ファイルの翻訳にアップグレードdoc2lang.com" display="doc2lang.comで全ファイルの翻訳にアップグレードdoc2lang.com" xr:uid="{00000000-0004-0000-0100-000027000000}"/>
    <hyperlink ref="G10" r:id="rId40" tooltip="doc2lang.comで全ファイルの翻訳にアップグレードdoc2lang.com" display="doc2lang.comで全ファイルの翻訳にアップグレードdoc2lang.com" xr:uid="{00000000-0004-0000-0100-000028000000}"/>
    <hyperlink ref="H10" r:id="rId41" tooltip="doc2lang.comで全ファイルの翻訳にアップグレードdoc2lang.com" display="doc2lang.comで全ファイルの翻訳にアップグレードdoc2lang.com" xr:uid="{00000000-0004-0000-0100-000029000000}"/>
    <hyperlink ref="B11" r:id="rId42" tooltip="doc2lang.comで全ファイルの翻訳にアップグレードdoc2lang.com" display="doc2lang.comで全ファイルの翻訳にアップグレードdoc2lang.com" xr:uid="{00000000-0004-0000-0100-00002A000000}"/>
    <hyperlink ref="C11" r:id="rId43" tooltip="doc2lang.comで全ファイルの翻訳にアップグレードdoc2lang.com" display="doc2lang.comで全ファイルの翻訳にアップグレードdoc2lang.com" xr:uid="{00000000-0004-0000-0100-00002B000000}"/>
    <hyperlink ref="D11" r:id="rId44" tooltip="doc2lang.comで全ファイルの翻訳にアップグレードdoc2lang.com" display="doc2lang.comで全ファイルの翻訳にアップグレードdoc2lang.com" xr:uid="{00000000-0004-0000-0100-00002C000000}"/>
    <hyperlink ref="E11" r:id="rId45" tooltip="doc2lang.comで全ファイルの翻訳にアップグレードdoc2lang.com" display="doc2lang.comで全ファイルの翻訳にアップグレードdoc2lang.com" xr:uid="{00000000-0004-0000-0100-00002D000000}"/>
    <hyperlink ref="F11" r:id="rId46" tooltip="doc2lang.comで全ファイルの翻訳にアップグレードdoc2lang.com" display="doc2lang.comで全ファイルの翻訳にアップグレードdoc2lang.com" xr:uid="{00000000-0004-0000-0100-00002E000000}"/>
    <hyperlink ref="H11" r:id="rId47" tooltip="doc2lang.comで全ファイルの翻訳にアップグレードdoc2lang.com" display="doc2lang.comで全ファイルの翻訳にアップグレードdoc2lang.com" xr:uid="{00000000-0004-0000-0100-00002F000000}"/>
    <hyperlink ref="F13" r:id="rId48" tooltip="doc2lang.comで全ファイルの翻訳にアップグレードdoc2lang.com" display="doc2lang.comで全ファイルの翻訳にアップグレードdoc2lang.com" xr:uid="{00000000-0004-0000-0100-000030000000}"/>
  </hyperlinks>
  <pageMargins left="0.25" right="0.25" top="0.75" bottom="0.75" header="0.3" footer="0.3"/>
  <pageSetup paperSize="9" scale="49" fitToHeight="0" orientation="landscape" r:id="rId4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FC233-A204-4466-9663-95714006BCC6}">
  <sheetPr>
    <pageSetUpPr fitToPage="1"/>
  </sheetPr>
  <dimension ref="A2:I76"/>
  <sheetViews>
    <sheetView showGridLines="0" tabSelected="1" topLeftCell="A62" zoomScale="85" zoomScaleNormal="85" workbookViewId="0">
      <selection activeCell="G7" sqref="G7"/>
    </sheetView>
  </sheetViews>
  <sheetFormatPr defaultColWidth="8.7265625" defaultRowHeight="18" customHeight="1"/>
  <cols>
    <col min="1" max="1" width="4.26953125" style="3" customWidth="1"/>
    <col min="2" max="2" width="12.7265625" style="3" customWidth="1"/>
    <col min="3" max="11" width="10.453125" style="3" customWidth="1"/>
    <col min="12" max="16384" width="8.7265625" style="3"/>
  </cols>
  <sheetData>
    <row r="2" spans="1:8" ht="18" customHeight="1">
      <c r="A2" s="3" t="s">
        <v>24</v>
      </c>
    </row>
    <row r="3" spans="1:8" ht="18" customHeight="1">
      <c r="C3" s="12" t="s">
        <v>25</v>
      </c>
      <c r="D3" s="12" t="s">
        <v>26</v>
      </c>
      <c r="E3" s="12" t="s">
        <v>27</v>
      </c>
      <c r="F3" s="12" t="s">
        <v>28</v>
      </c>
      <c r="G3" s="12" t="s">
        <v>29</v>
      </c>
      <c r="H3" s="12" t="s">
        <v>30</v>
      </c>
    </row>
    <row r="4" spans="1:8" ht="18" customHeight="1">
      <c r="B4" s="8" t="s">
        <v>31</v>
      </c>
      <c r="C4" s="41">
        <v>1</v>
      </c>
      <c r="D4" s="10">
        <v>0.1</v>
      </c>
      <c r="E4" s="10">
        <v>0.1</v>
      </c>
      <c r="F4" s="10">
        <v>0.1</v>
      </c>
      <c r="G4" s="10">
        <v>0.2</v>
      </c>
      <c r="H4" s="10">
        <v>0.2</v>
      </c>
    </row>
    <row r="5" spans="1:8" ht="36" customHeight="1">
      <c r="B5" s="8" t="s">
        <v>32</v>
      </c>
      <c r="C5" s="6" t="s">
        <v>33</v>
      </c>
      <c r="D5" s="7" t="s">
        <v>33</v>
      </c>
      <c r="E5" s="45" t="s">
        <v>34</v>
      </c>
      <c r="F5" s="7" t="s">
        <v>33</v>
      </c>
      <c r="G5" s="7" t="s">
        <v>33</v>
      </c>
      <c r="H5" s="45" t="s">
        <v>34</v>
      </c>
    </row>
    <row r="6" spans="1:8" ht="18" customHeight="1">
      <c r="B6" s="8" t="s">
        <v>35</v>
      </c>
      <c r="C6" s="6" t="s">
        <v>36</v>
      </c>
      <c r="D6" s="7" t="s">
        <v>37</v>
      </c>
      <c r="E6" s="44" t="s">
        <v>34</v>
      </c>
      <c r="F6" s="7" t="s">
        <v>37</v>
      </c>
      <c r="G6" s="7" t="s">
        <v>37</v>
      </c>
      <c r="H6" s="44" t="s">
        <v>34</v>
      </c>
    </row>
    <row r="7" spans="1:8" ht="18" customHeight="1">
      <c r="B7" s="8" t="s">
        <v>38</v>
      </c>
      <c r="C7" s="6" t="s">
        <v>39</v>
      </c>
      <c r="D7" s="11" t="s">
        <v>40</v>
      </c>
      <c r="E7" s="11" t="s">
        <v>41</v>
      </c>
      <c r="F7" s="11" t="s">
        <v>40</v>
      </c>
      <c r="G7" s="11" t="s">
        <v>42</v>
      </c>
      <c r="H7" s="11" t="s">
        <v>41</v>
      </c>
    </row>
    <row r="8" spans="1:8" ht="18" customHeight="1">
      <c r="B8" s="8" t="s">
        <v>43</v>
      </c>
      <c r="C8" s="6" t="s">
        <v>44</v>
      </c>
      <c r="D8" s="6" t="s">
        <v>44</v>
      </c>
      <c r="E8" s="10" t="s">
        <v>45</v>
      </c>
      <c r="F8" s="6" t="s">
        <v>44</v>
      </c>
      <c r="G8" s="6" t="s">
        <v>44</v>
      </c>
      <c r="H8" s="10" t="s">
        <v>45</v>
      </c>
    </row>
    <row r="10" spans="1:8" ht="18" customHeight="1">
      <c r="B10" s="14"/>
      <c r="C10" s="3" t="s">
        <v>46</v>
      </c>
    </row>
    <row r="11" spans="1:8" ht="18" customHeight="1">
      <c r="B11" s="15"/>
      <c r="C11" s="3" t="s">
        <v>47</v>
      </c>
    </row>
    <row r="12" spans="1:8" ht="18" customHeight="1">
      <c r="B12" s="16"/>
      <c r="C12" s="3" t="s">
        <v>48</v>
      </c>
    </row>
    <row r="15" spans="1:8" ht="18" customHeight="1">
      <c r="A15" s="3" t="s">
        <v>49</v>
      </c>
    </row>
    <row r="16" spans="1:8" ht="18" customHeight="1">
      <c r="C16" s="12" t="s">
        <v>25</v>
      </c>
      <c r="D16" s="12" t="s">
        <v>26</v>
      </c>
      <c r="E16" s="12" t="s">
        <v>27</v>
      </c>
      <c r="F16" s="12" t="s">
        <v>28</v>
      </c>
      <c r="G16" s="12" t="s">
        <v>29</v>
      </c>
      <c r="H16" s="12" t="s">
        <v>30</v>
      </c>
    </row>
    <row r="17" spans="1:8" ht="18" customHeight="1">
      <c r="B17" s="8" t="s">
        <v>31</v>
      </c>
      <c r="C17" s="41">
        <v>1</v>
      </c>
      <c r="D17" s="10">
        <v>0.1</v>
      </c>
      <c r="E17" s="10">
        <v>0.1</v>
      </c>
      <c r="F17" s="10">
        <v>0.1</v>
      </c>
      <c r="G17" s="10">
        <v>0.2</v>
      </c>
      <c r="H17" s="10">
        <v>0.2</v>
      </c>
    </row>
    <row r="18" spans="1:8" ht="36" customHeight="1">
      <c r="B18" s="8" t="s">
        <v>32</v>
      </c>
      <c r="C18" s="6" t="s">
        <v>33</v>
      </c>
      <c r="D18" s="7" t="s">
        <v>33</v>
      </c>
      <c r="E18" s="45" t="s">
        <v>34</v>
      </c>
      <c r="F18" s="7" t="s">
        <v>33</v>
      </c>
      <c r="G18" s="7" t="s">
        <v>33</v>
      </c>
      <c r="H18" s="45" t="s">
        <v>34</v>
      </c>
    </row>
    <row r="19" spans="1:8" ht="18" customHeight="1">
      <c r="B19" s="8" t="s">
        <v>35</v>
      </c>
      <c r="C19" s="6" t="s">
        <v>36</v>
      </c>
      <c r="D19" s="7" t="s">
        <v>37</v>
      </c>
      <c r="E19" s="44" t="s">
        <v>34</v>
      </c>
      <c r="F19" s="7" t="s">
        <v>37</v>
      </c>
      <c r="G19" s="7" t="s">
        <v>37</v>
      </c>
      <c r="H19" s="44" t="s">
        <v>34</v>
      </c>
    </row>
    <row r="20" spans="1:8" ht="18" customHeight="1">
      <c r="B20" s="8" t="s">
        <v>38</v>
      </c>
      <c r="C20" s="6" t="s">
        <v>39</v>
      </c>
      <c r="D20" s="11" t="s">
        <v>40</v>
      </c>
      <c r="E20" s="11" t="s">
        <v>41</v>
      </c>
      <c r="F20" s="11" t="s">
        <v>40</v>
      </c>
      <c r="G20" s="11" t="s">
        <v>42</v>
      </c>
      <c r="H20" s="11" t="s">
        <v>41</v>
      </c>
    </row>
    <row r="21" spans="1:8" ht="18" customHeight="1">
      <c r="B21" s="8" t="s">
        <v>43</v>
      </c>
      <c r="C21" s="6" t="s">
        <v>44</v>
      </c>
      <c r="D21" s="6" t="s">
        <v>44</v>
      </c>
      <c r="E21" s="10" t="s">
        <v>45</v>
      </c>
      <c r="F21" s="6" t="s">
        <v>44</v>
      </c>
      <c r="G21" s="6" t="s">
        <v>44</v>
      </c>
      <c r="H21" s="10" t="s">
        <v>45</v>
      </c>
    </row>
    <row r="22" spans="1:8" ht="18" customHeight="1">
      <c r="B22" s="8" t="s">
        <v>50</v>
      </c>
      <c r="C22" s="6" t="s">
        <v>44</v>
      </c>
      <c r="D22" s="10" t="s">
        <v>51</v>
      </c>
      <c r="E22" s="10" t="s">
        <v>51</v>
      </c>
      <c r="F22" s="10" t="s">
        <v>51</v>
      </c>
      <c r="G22" s="10" t="s">
        <v>51</v>
      </c>
      <c r="H22" s="10" t="s">
        <v>51</v>
      </c>
    </row>
    <row r="24" spans="1:8" ht="18" customHeight="1">
      <c r="B24" s="14"/>
      <c r="C24" s="3" t="s">
        <v>46</v>
      </c>
    </row>
    <row r="25" spans="1:8" ht="18" customHeight="1">
      <c r="B25" s="15"/>
      <c r="C25" s="3" t="s">
        <v>47</v>
      </c>
    </row>
    <row r="26" spans="1:8" ht="18" customHeight="1">
      <c r="B26" s="16"/>
      <c r="C26" s="3" t="s">
        <v>48</v>
      </c>
    </row>
    <row r="28" spans="1:8" ht="18" customHeight="1">
      <c r="A28" s="3" t="s">
        <v>52</v>
      </c>
    </row>
    <row r="29" spans="1:8" ht="18" customHeight="1">
      <c r="C29" s="12" t="s">
        <v>25</v>
      </c>
      <c r="D29" s="12" t="s">
        <v>26</v>
      </c>
      <c r="E29" s="12" t="s">
        <v>27</v>
      </c>
      <c r="F29" s="12" t="s">
        <v>27</v>
      </c>
    </row>
    <row r="30" spans="1:8" ht="18" customHeight="1">
      <c r="B30" s="8" t="s">
        <v>32</v>
      </c>
      <c r="C30" s="6" t="s">
        <v>33</v>
      </c>
      <c r="D30" s="7" t="s">
        <v>53</v>
      </c>
      <c r="E30" s="45" t="s">
        <v>34</v>
      </c>
      <c r="F30" s="45" t="s">
        <v>34</v>
      </c>
    </row>
    <row r="31" spans="1:8" ht="18" customHeight="1">
      <c r="B31" s="8" t="s">
        <v>35</v>
      </c>
      <c r="C31" s="6" t="s">
        <v>36</v>
      </c>
      <c r="D31" s="6" t="s">
        <v>36</v>
      </c>
      <c r="E31" s="44" t="s">
        <v>34</v>
      </c>
      <c r="F31" s="44" t="s">
        <v>34</v>
      </c>
    </row>
    <row r="32" spans="1:8" ht="18" customHeight="1">
      <c r="B32" s="8" t="s">
        <v>38</v>
      </c>
      <c r="C32" s="6" t="s">
        <v>39</v>
      </c>
      <c r="D32" s="6" t="s">
        <v>39</v>
      </c>
      <c r="E32" s="11" t="s">
        <v>54</v>
      </c>
      <c r="F32" s="11" t="s">
        <v>55</v>
      </c>
    </row>
    <row r="33" spans="1:9" ht="18" customHeight="1">
      <c r="B33" s="8" t="s">
        <v>43</v>
      </c>
      <c r="C33" s="6" t="s">
        <v>44</v>
      </c>
      <c r="D33" s="9" t="s">
        <v>56</v>
      </c>
      <c r="E33" s="10" t="s">
        <v>57</v>
      </c>
      <c r="F33" s="10" t="s">
        <v>45</v>
      </c>
    </row>
    <row r="35" spans="1:9" ht="18" customHeight="1">
      <c r="B35" s="14"/>
      <c r="C35" s="3" t="s">
        <v>46</v>
      </c>
    </row>
    <row r="36" spans="1:9" ht="18" customHeight="1">
      <c r="B36" s="15"/>
      <c r="C36" s="3" t="s">
        <v>47</v>
      </c>
    </row>
    <row r="37" spans="1:9" ht="18" customHeight="1">
      <c r="B37" s="16"/>
      <c r="C37" s="3" t="s">
        <v>48</v>
      </c>
    </row>
    <row r="40" spans="1:9" ht="18" customHeight="1">
      <c r="A40" s="3" t="s">
        <v>58</v>
      </c>
    </row>
    <row r="41" spans="1:9" ht="18" customHeight="1">
      <c r="C41" s="12" t="s">
        <v>25</v>
      </c>
      <c r="D41" s="12" t="s">
        <v>26</v>
      </c>
      <c r="E41" s="12" t="s">
        <v>27</v>
      </c>
      <c r="F41" s="12" t="s">
        <v>59</v>
      </c>
      <c r="G41" s="12" t="s">
        <v>60</v>
      </c>
      <c r="H41" s="12" t="s">
        <v>61</v>
      </c>
      <c r="I41" s="12" t="s">
        <v>62</v>
      </c>
    </row>
    <row r="42" spans="1:9" ht="18" customHeight="1">
      <c r="B42" s="8" t="s">
        <v>32</v>
      </c>
      <c r="C42" s="6" t="s">
        <v>33</v>
      </c>
      <c r="D42" s="44" t="s">
        <v>33</v>
      </c>
      <c r="E42" s="44" t="s">
        <v>33</v>
      </c>
      <c r="F42" s="45" t="s">
        <v>34</v>
      </c>
      <c r="G42" s="44" t="s">
        <v>33</v>
      </c>
      <c r="H42" s="45" t="s">
        <v>34</v>
      </c>
      <c r="I42" s="44" t="s">
        <v>33</v>
      </c>
    </row>
    <row r="43" spans="1:9" ht="18" customHeight="1">
      <c r="B43" s="8" t="s">
        <v>35</v>
      </c>
      <c r="C43" s="6" t="s">
        <v>63</v>
      </c>
      <c r="D43" s="44" t="s">
        <v>63</v>
      </c>
      <c r="E43" s="44" t="s">
        <v>63</v>
      </c>
      <c r="F43" s="45" t="s">
        <v>34</v>
      </c>
      <c r="G43" s="44" t="s">
        <v>63</v>
      </c>
      <c r="H43" s="45" t="s">
        <v>34</v>
      </c>
      <c r="I43" s="44" t="s">
        <v>63</v>
      </c>
    </row>
    <row r="44" spans="1:9" ht="18" customHeight="1">
      <c r="B44" s="8" t="s">
        <v>64</v>
      </c>
      <c r="C44" s="6" t="s">
        <v>65</v>
      </c>
      <c r="D44" s="10" t="s">
        <v>66</v>
      </c>
      <c r="E44" s="10" t="s">
        <v>65</v>
      </c>
      <c r="F44" s="6" t="s">
        <v>65</v>
      </c>
      <c r="G44" s="6" t="s">
        <v>65</v>
      </c>
      <c r="H44" s="6" t="s">
        <v>65</v>
      </c>
      <c r="I44" s="6" t="s">
        <v>65</v>
      </c>
    </row>
    <row r="45" spans="1:9" ht="18" customHeight="1">
      <c r="B45" s="8" t="s">
        <v>67</v>
      </c>
      <c r="C45" s="6" t="s">
        <v>65</v>
      </c>
      <c r="D45" s="6" t="s">
        <v>65</v>
      </c>
      <c r="E45" s="6" t="s">
        <v>65</v>
      </c>
      <c r="F45" s="10" t="s">
        <v>66</v>
      </c>
      <c r="G45" s="10" t="s">
        <v>65</v>
      </c>
      <c r="H45" s="6" t="s">
        <v>65</v>
      </c>
      <c r="I45" s="6" t="s">
        <v>65</v>
      </c>
    </row>
    <row r="46" spans="1:9" ht="18" customHeight="1">
      <c r="B46" s="8" t="s">
        <v>68</v>
      </c>
      <c r="C46" s="6" t="s">
        <v>65</v>
      </c>
      <c r="D46" s="6" t="s">
        <v>65</v>
      </c>
      <c r="E46" s="6" t="s">
        <v>65</v>
      </c>
      <c r="F46" s="6" t="s">
        <v>65</v>
      </c>
      <c r="G46" s="6" t="s">
        <v>65</v>
      </c>
      <c r="H46" s="10" t="s">
        <v>66</v>
      </c>
      <c r="I46" s="10" t="s">
        <v>65</v>
      </c>
    </row>
    <row r="47" spans="1:9" ht="18" customHeight="1">
      <c r="B47" s="8" t="s">
        <v>38</v>
      </c>
      <c r="C47" s="6" t="s">
        <v>39</v>
      </c>
      <c r="D47" s="6" t="s">
        <v>39</v>
      </c>
      <c r="E47" s="6" t="s">
        <v>39</v>
      </c>
      <c r="F47" s="11" t="s">
        <v>41</v>
      </c>
      <c r="G47" s="6" t="s">
        <v>39</v>
      </c>
      <c r="H47" s="11" t="s">
        <v>41</v>
      </c>
      <c r="I47" s="6" t="s">
        <v>39</v>
      </c>
    </row>
    <row r="49" spans="1:6" ht="18" customHeight="1">
      <c r="B49" s="14"/>
      <c r="C49" s="3" t="s">
        <v>46</v>
      </c>
    </row>
    <row r="50" spans="1:6" ht="18" customHeight="1">
      <c r="B50" s="15"/>
      <c r="C50" s="3" t="s">
        <v>47</v>
      </c>
    </row>
    <row r="51" spans="1:6" ht="18" customHeight="1">
      <c r="B51" s="16"/>
      <c r="C51" s="3" t="s">
        <v>48</v>
      </c>
    </row>
    <row r="54" spans="1:6" ht="18" customHeight="1">
      <c r="A54" s="3" t="s">
        <v>69</v>
      </c>
    </row>
    <row r="55" spans="1:6" ht="18" customHeight="1">
      <c r="C55" s="12" t="s">
        <v>25</v>
      </c>
      <c r="D55" s="12" t="s">
        <v>26</v>
      </c>
      <c r="E55" s="12" t="s">
        <v>27</v>
      </c>
      <c r="F55" s="12" t="s">
        <v>59</v>
      </c>
    </row>
    <row r="56" spans="1:6" ht="18" customHeight="1">
      <c r="B56" s="8" t="s">
        <v>31</v>
      </c>
      <c r="C56" s="41">
        <v>1</v>
      </c>
      <c r="D56" s="10">
        <v>0.1</v>
      </c>
      <c r="E56" s="10">
        <v>0.3</v>
      </c>
      <c r="F56" s="10">
        <v>0.6</v>
      </c>
    </row>
    <row r="57" spans="1:6" ht="18" customHeight="1">
      <c r="B57" s="8" t="s">
        <v>32</v>
      </c>
      <c r="C57" s="6" t="s">
        <v>33</v>
      </c>
      <c r="D57" s="7" t="s">
        <v>70</v>
      </c>
      <c r="E57" s="7" t="s">
        <v>70</v>
      </c>
      <c r="F57" s="7" t="s">
        <v>70</v>
      </c>
    </row>
    <row r="58" spans="1:6" ht="18" customHeight="1">
      <c r="B58" s="8" t="s">
        <v>35</v>
      </c>
      <c r="C58" s="6" t="s">
        <v>36</v>
      </c>
      <c r="D58" s="7" t="s">
        <v>63</v>
      </c>
      <c r="E58" s="7" t="s">
        <v>63</v>
      </c>
      <c r="F58" s="7" t="s">
        <v>63</v>
      </c>
    </row>
    <row r="59" spans="1:6" ht="18" customHeight="1">
      <c r="B59" s="8" t="s">
        <v>38</v>
      </c>
      <c r="C59" s="6" t="s">
        <v>71</v>
      </c>
      <c r="D59" s="11" t="s">
        <v>40</v>
      </c>
      <c r="E59" s="11" t="s">
        <v>72</v>
      </c>
      <c r="F59" s="11" t="s">
        <v>73</v>
      </c>
    </row>
    <row r="61" spans="1:6" ht="18" customHeight="1">
      <c r="B61" s="14"/>
      <c r="C61" s="3" t="s">
        <v>46</v>
      </c>
    </row>
    <row r="62" spans="1:6" ht="18" customHeight="1">
      <c r="B62" s="15"/>
      <c r="C62" s="3" t="s">
        <v>47</v>
      </c>
    </row>
    <row r="63" spans="1:6" ht="18" customHeight="1">
      <c r="B63" s="16"/>
      <c r="C63" s="3" t="s">
        <v>48</v>
      </c>
    </row>
    <row r="66" spans="1:8" ht="18" customHeight="1">
      <c r="A66" s="3" t="s">
        <v>74</v>
      </c>
    </row>
    <row r="67" spans="1:8" ht="18" customHeight="1">
      <c r="C67" s="12" t="s">
        <v>25</v>
      </c>
      <c r="D67" s="12" t="s">
        <v>26</v>
      </c>
      <c r="E67" s="12" t="s">
        <v>27</v>
      </c>
      <c r="F67" s="12" t="s">
        <v>59</v>
      </c>
      <c r="G67" s="12" t="s">
        <v>60</v>
      </c>
      <c r="H67" s="12" t="s">
        <v>61</v>
      </c>
    </row>
    <row r="68" spans="1:8" ht="18" customHeight="1">
      <c r="B68" s="8" t="s">
        <v>31</v>
      </c>
      <c r="C68" s="41">
        <v>1</v>
      </c>
      <c r="D68" s="41">
        <v>1</v>
      </c>
      <c r="E68" s="41">
        <v>1</v>
      </c>
      <c r="F68" s="41">
        <v>1</v>
      </c>
      <c r="G68" s="41">
        <v>1</v>
      </c>
      <c r="H68" s="41">
        <v>1</v>
      </c>
    </row>
    <row r="69" spans="1:8" ht="18" customHeight="1">
      <c r="B69" s="8" t="s">
        <v>32</v>
      </c>
      <c r="C69" s="6" t="s">
        <v>33</v>
      </c>
      <c r="D69" s="44" t="s">
        <v>34</v>
      </c>
      <c r="E69" s="7" t="s">
        <v>33</v>
      </c>
      <c r="F69" s="9" t="s">
        <v>34</v>
      </c>
      <c r="G69" s="6" t="s">
        <v>34</v>
      </c>
      <c r="H69" s="44" t="s">
        <v>75</v>
      </c>
    </row>
    <row r="70" spans="1:8" ht="18" customHeight="1">
      <c r="B70" s="8" t="s">
        <v>35</v>
      </c>
      <c r="C70" s="6" t="s">
        <v>63</v>
      </c>
      <c r="D70" s="44" t="s">
        <v>34</v>
      </c>
      <c r="E70" s="7" t="s">
        <v>36</v>
      </c>
      <c r="F70" s="6" t="s">
        <v>34</v>
      </c>
      <c r="G70" s="7" t="s">
        <v>76</v>
      </c>
      <c r="H70" s="44" t="s">
        <v>34</v>
      </c>
    </row>
    <row r="71" spans="1:8" ht="18" customHeight="1">
      <c r="B71" s="8" t="s">
        <v>38</v>
      </c>
      <c r="C71" s="6" t="s">
        <v>71</v>
      </c>
      <c r="D71" s="11" t="s">
        <v>41</v>
      </c>
      <c r="E71" s="7" t="s">
        <v>71</v>
      </c>
      <c r="F71" s="6" t="s">
        <v>41</v>
      </c>
      <c r="G71" s="50" t="s">
        <v>77</v>
      </c>
      <c r="H71" s="11" t="s">
        <v>41</v>
      </c>
    </row>
    <row r="72" spans="1:8" ht="18" customHeight="1">
      <c r="B72" s="8" t="s">
        <v>78</v>
      </c>
      <c r="C72" s="6" t="s">
        <v>44</v>
      </c>
      <c r="D72" s="10" t="s">
        <v>79</v>
      </c>
      <c r="E72" s="48" t="s">
        <v>80</v>
      </c>
      <c r="F72" s="6" t="s">
        <v>44</v>
      </c>
      <c r="G72" s="10" t="s">
        <v>76</v>
      </c>
      <c r="H72" s="41" t="s">
        <v>76</v>
      </c>
    </row>
    <row r="74" spans="1:8" ht="18" customHeight="1">
      <c r="B74" s="14"/>
      <c r="C74" s="3" t="s">
        <v>46</v>
      </c>
    </row>
    <row r="75" spans="1:8" ht="18" customHeight="1">
      <c r="B75" s="15"/>
      <c r="C75" s="3" t="s">
        <v>47</v>
      </c>
    </row>
    <row r="76" spans="1:8" ht="18" customHeight="1">
      <c r="B76" s="16"/>
      <c r="C76" s="3" t="s">
        <v>48</v>
      </c>
    </row>
  </sheetData>
  <phoneticPr fontId="2"/>
  <pageMargins left="0.7" right="0.7" top="0.75" bottom="0.75" header="0.3" footer="0.3"/>
  <pageSetup paperSize="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1FAE-B5F4-4308-A94C-E54C9F66D738}">
  <dimension ref="A1"/>
  <sheetViews>
    <sheetView workbookViewId="0">
      <selection activeCell="N18" sqref="N18"/>
    </sheetView>
  </sheetViews>
  <sheetFormatPr defaultRowHeight="1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CC510-5333-42C1-A8FF-06FAFEFF3673}">
  <sheetPr>
    <tabColor theme="0" tint="-0.34998626667073579"/>
    <pageSetUpPr fitToPage="1"/>
  </sheetPr>
  <dimension ref="B1:U69"/>
  <sheetViews>
    <sheetView view="pageBreakPreview" topLeftCell="A23" zoomScale="85" zoomScaleNormal="85" zoomScaleSheetLayoutView="85" workbookViewId="0">
      <selection activeCell="E6" sqref="E6"/>
    </sheetView>
  </sheetViews>
  <sheetFormatPr defaultColWidth="8.7265625" defaultRowHeight="15"/>
  <cols>
    <col min="1" max="1" width="1.7265625" style="3" customWidth="1"/>
    <col min="2" max="2" width="6.7265625" style="3" customWidth="1"/>
    <col min="3" max="3" width="4.26953125" style="3" customWidth="1"/>
    <col min="4" max="4" width="8.7265625" style="3" customWidth="1"/>
    <col min="5" max="5" width="35.7265625" style="3" customWidth="1"/>
    <col min="6" max="6" width="4.453125" style="3" customWidth="1"/>
    <col min="7" max="7" width="25.7265625" style="3" customWidth="1"/>
    <col min="8" max="8" width="4.453125" style="3" customWidth="1"/>
    <col min="9" max="9" width="30.7265625" style="3" customWidth="1"/>
    <col min="10" max="10" width="4.453125" style="3" customWidth="1"/>
    <col min="11" max="11" width="7.453125" style="3" bestFit="1" customWidth="1"/>
    <col min="12" max="12" width="1.7265625" style="3" customWidth="1"/>
    <col min="13" max="13" width="8.7265625" style="43"/>
    <col min="14" max="14" width="11.7265625" style="3" bestFit="1" customWidth="1"/>
    <col min="15" max="16384" width="8.7265625" style="3"/>
  </cols>
  <sheetData>
    <row r="1" spans="2:13" ht="21" customHeight="1">
      <c r="B1" s="13" t="s">
        <v>81</v>
      </c>
      <c r="C1" s="4"/>
      <c r="D1" s="4"/>
      <c r="K1" s="4"/>
    </row>
    <row r="2" spans="2:13" ht="16">
      <c r="B2" s="40"/>
      <c r="C2" s="39"/>
      <c r="D2" s="4"/>
      <c r="K2" s="4" t="s">
        <v>82</v>
      </c>
    </row>
    <row r="3" spans="2:13">
      <c r="B3" s="19" t="s">
        <v>83</v>
      </c>
      <c r="C3" s="25" t="s">
        <v>84</v>
      </c>
      <c r="D3" s="23"/>
      <c r="E3" s="23"/>
      <c r="F3" s="23"/>
      <c r="G3" s="23"/>
      <c r="H3" s="23"/>
      <c r="I3" s="23"/>
      <c r="J3" s="23"/>
      <c r="K3" s="35"/>
    </row>
    <row r="4" spans="2:13">
      <c r="B4" s="20"/>
      <c r="C4" s="25" t="s">
        <v>85</v>
      </c>
      <c r="K4" s="17"/>
    </row>
    <row r="5" spans="2:13">
      <c r="B5" s="20"/>
      <c r="C5" s="25"/>
      <c r="K5" s="17"/>
    </row>
    <row r="6" spans="2:13">
      <c r="B6" s="21"/>
      <c r="C6" s="26"/>
      <c r="D6" s="27"/>
      <c r="E6" s="27"/>
      <c r="F6" s="27"/>
      <c r="G6" s="27"/>
      <c r="H6" s="27"/>
      <c r="I6" s="27" t="s">
        <v>86</v>
      </c>
      <c r="J6" s="27"/>
      <c r="K6" s="36"/>
    </row>
    <row r="7" spans="2:13">
      <c r="B7" s="19" t="s">
        <v>87</v>
      </c>
      <c r="C7" s="22" t="s">
        <v>88</v>
      </c>
      <c r="D7" s="23"/>
      <c r="E7" s="23"/>
      <c r="F7" s="23"/>
      <c r="G7" s="23"/>
      <c r="H7" s="23"/>
      <c r="I7" s="23"/>
      <c r="J7" s="23"/>
      <c r="K7" s="35"/>
    </row>
    <row r="8" spans="2:13">
      <c r="B8" s="20"/>
      <c r="C8" s="25" t="s">
        <v>89</v>
      </c>
      <c r="K8" s="17"/>
    </row>
    <row r="9" spans="2:13">
      <c r="B9" s="21"/>
      <c r="C9" s="26"/>
      <c r="D9" s="27"/>
      <c r="E9" s="27"/>
      <c r="F9" s="27"/>
      <c r="G9" s="27"/>
      <c r="H9" s="27"/>
      <c r="I9" s="27"/>
      <c r="J9" s="27"/>
      <c r="K9" s="36"/>
    </row>
    <row r="10" spans="2:13">
      <c r="B10" s="19" t="s">
        <v>90</v>
      </c>
      <c r="C10" s="3" t="s">
        <v>91</v>
      </c>
      <c r="F10" s="23"/>
      <c r="G10" s="23"/>
      <c r="H10" s="23"/>
      <c r="I10" s="23"/>
      <c r="J10" s="23"/>
      <c r="K10" s="24" t="s">
        <v>26</v>
      </c>
      <c r="M10" s="43" t="s">
        <v>92</v>
      </c>
    </row>
    <row r="11" spans="2:13">
      <c r="B11" s="29"/>
      <c r="C11" s="3" t="s">
        <v>93</v>
      </c>
      <c r="K11" s="18"/>
      <c r="M11" s="43" t="s">
        <v>94</v>
      </c>
    </row>
    <row r="12" spans="2:13">
      <c r="B12" s="29"/>
      <c r="K12" s="18" t="s">
        <v>27</v>
      </c>
    </row>
    <row r="13" spans="2:13">
      <c r="B13" s="29"/>
      <c r="C13" s="3" t="s">
        <v>95</v>
      </c>
      <c r="K13" s="18" t="s">
        <v>59</v>
      </c>
      <c r="M13" s="43" t="s">
        <v>96</v>
      </c>
    </row>
    <row r="14" spans="2:13">
      <c r="B14" s="29"/>
      <c r="C14" s="3" t="s">
        <v>97</v>
      </c>
      <c r="K14" s="18"/>
    </row>
    <row r="15" spans="2:13">
      <c r="B15" s="29"/>
      <c r="K15" s="18" t="s">
        <v>60</v>
      </c>
    </row>
    <row r="16" spans="2:13">
      <c r="B16" s="29"/>
      <c r="C16" s="3" t="s">
        <v>98</v>
      </c>
      <c r="K16" s="18" t="s">
        <v>61</v>
      </c>
    </row>
    <row r="17" spans="2:11">
      <c r="B17" s="29"/>
      <c r="C17" s="3" t="s">
        <v>99</v>
      </c>
      <c r="K17" s="18"/>
    </row>
    <row r="18" spans="2:11">
      <c r="B18" s="29"/>
      <c r="K18" s="18" t="s">
        <v>62</v>
      </c>
    </row>
    <row r="19" spans="2:11">
      <c r="B19" s="29"/>
      <c r="K19" s="18"/>
    </row>
    <row r="20" spans="2:11">
      <c r="B20" s="29"/>
      <c r="K20" s="18"/>
    </row>
    <row r="21" spans="2:11">
      <c r="B21" s="29"/>
      <c r="K21" s="18"/>
    </row>
    <row r="22" spans="2:11">
      <c r="B22" s="29"/>
      <c r="K22" s="18"/>
    </row>
    <row r="23" spans="2:11">
      <c r="B23" s="29"/>
      <c r="K23" s="18"/>
    </row>
    <row r="24" spans="2:11">
      <c r="B24" s="29"/>
      <c r="K24" s="18"/>
    </row>
    <row r="25" spans="2:11">
      <c r="B25" s="29"/>
      <c r="K25" s="18"/>
    </row>
    <row r="26" spans="2:11">
      <c r="B26" s="29"/>
      <c r="K26" s="18"/>
    </row>
    <row r="27" spans="2:11">
      <c r="B27" s="29"/>
      <c r="K27" s="18"/>
    </row>
    <row r="28" spans="2:11">
      <c r="B28" s="29"/>
      <c r="K28" s="18"/>
    </row>
    <row r="29" spans="2:11">
      <c r="B29" s="29"/>
      <c r="K29" s="18"/>
    </row>
    <row r="30" spans="2:11">
      <c r="B30" s="30"/>
      <c r="C30" s="32"/>
      <c r="D30" s="27"/>
      <c r="E30" s="27"/>
      <c r="F30" s="27"/>
      <c r="G30" s="27"/>
      <c r="H30" s="27"/>
      <c r="I30" s="27"/>
      <c r="J30" s="27"/>
      <c r="K30" s="28"/>
    </row>
    <row r="31" spans="2:11">
      <c r="B31" s="108" t="s">
        <v>100</v>
      </c>
      <c r="C31" s="109"/>
      <c r="D31" s="109"/>
      <c r="E31" s="109"/>
      <c r="F31" s="109"/>
      <c r="G31" s="109"/>
      <c r="H31" s="109"/>
      <c r="I31" s="109"/>
      <c r="J31" s="109"/>
      <c r="K31" s="110"/>
    </row>
    <row r="32" spans="2:11">
      <c r="B32" s="19" t="s">
        <v>101</v>
      </c>
      <c r="C32" s="111" t="s">
        <v>102</v>
      </c>
      <c r="D32" s="112" t="s">
        <v>103</v>
      </c>
      <c r="E32" s="114" t="s">
        <v>104</v>
      </c>
      <c r="F32" s="115"/>
      <c r="G32" s="115"/>
      <c r="H32" s="115"/>
      <c r="I32" s="115"/>
      <c r="J32" s="116"/>
      <c r="K32" s="112" t="s">
        <v>105</v>
      </c>
    </row>
    <row r="33" spans="2:21">
      <c r="B33" s="31"/>
      <c r="C33" s="111"/>
      <c r="D33" s="113"/>
      <c r="E33" s="111" t="s">
        <v>106</v>
      </c>
      <c r="F33" s="111"/>
      <c r="G33" s="111" t="s">
        <v>107</v>
      </c>
      <c r="H33" s="111"/>
      <c r="I33" s="111" t="s">
        <v>108</v>
      </c>
      <c r="J33" s="111"/>
      <c r="K33" s="113"/>
    </row>
    <row r="34" spans="2:21" ht="40.15" customHeight="1">
      <c r="B34" s="31"/>
      <c r="C34" s="6">
        <v>1</v>
      </c>
      <c r="D34" s="37">
        <v>0.38194444444444442</v>
      </c>
      <c r="E34" s="34" t="s">
        <v>109</v>
      </c>
      <c r="F34" s="5"/>
      <c r="G34" s="95" t="s">
        <v>110</v>
      </c>
      <c r="H34" s="33"/>
      <c r="I34" s="34" t="s">
        <v>111</v>
      </c>
      <c r="J34" s="5"/>
      <c r="K34" s="5"/>
      <c r="O34" s="3" t="s">
        <v>112</v>
      </c>
      <c r="P34" s="3" t="s">
        <v>113</v>
      </c>
      <c r="Q34" s="3" t="s">
        <v>114</v>
      </c>
      <c r="R34" s="3" t="s">
        <v>115</v>
      </c>
      <c r="S34" s="3" t="s">
        <v>116</v>
      </c>
      <c r="T34" s="3" t="s">
        <v>117</v>
      </c>
      <c r="U34" s="3" t="s">
        <v>118</v>
      </c>
    </row>
    <row r="35" spans="2:21" ht="40.15" customHeight="1">
      <c r="B35" s="31"/>
      <c r="C35" s="6">
        <v>2</v>
      </c>
      <c r="D35" s="85">
        <v>0.3888888888888889</v>
      </c>
      <c r="E35" s="34" t="s">
        <v>119</v>
      </c>
      <c r="F35" s="5" t="s">
        <v>120</v>
      </c>
      <c r="G35" s="88">
        <v>46083</v>
      </c>
      <c r="H35" s="33"/>
      <c r="I35" s="95" t="s">
        <v>121</v>
      </c>
      <c r="J35" s="33"/>
      <c r="K35" s="107" t="s">
        <v>26</v>
      </c>
      <c r="M35" s="43">
        <v>3.472222222222222E-3</v>
      </c>
      <c r="N35" s="86">
        <v>0.62152777777777779</v>
      </c>
      <c r="O35" s="3">
        <v>142</v>
      </c>
      <c r="P35" s="3">
        <v>57</v>
      </c>
      <c r="Q35" s="3">
        <v>48</v>
      </c>
      <c r="R35" s="3">
        <v>50</v>
      </c>
    </row>
    <row r="36" spans="2:21" ht="40.15" customHeight="1">
      <c r="B36" s="29"/>
      <c r="C36" s="6">
        <v>3</v>
      </c>
      <c r="D36" s="85">
        <v>0.39583333333333331</v>
      </c>
      <c r="E36" s="34" t="s">
        <v>122</v>
      </c>
      <c r="F36" s="5" t="s">
        <v>120</v>
      </c>
      <c r="G36" s="88">
        <v>46083</v>
      </c>
      <c r="H36" s="33"/>
      <c r="I36" s="33"/>
      <c r="J36" s="33"/>
      <c r="K36" s="107"/>
      <c r="M36" s="43">
        <v>1.0416666666666666E-2</v>
      </c>
    </row>
    <row r="37" spans="2:21" ht="40.15" customHeight="1">
      <c r="B37" s="29"/>
      <c r="C37" s="46">
        <v>4</v>
      </c>
      <c r="D37" s="96">
        <v>0.40277777777777779</v>
      </c>
      <c r="E37" s="97" t="s">
        <v>123</v>
      </c>
      <c r="F37" s="98"/>
      <c r="G37" s="99"/>
      <c r="H37" s="100"/>
      <c r="I37" s="100"/>
      <c r="J37" s="100"/>
      <c r="K37" s="46"/>
    </row>
    <row r="38" spans="2:21" ht="40.15" customHeight="1">
      <c r="B38" s="108" t="s">
        <v>82</v>
      </c>
      <c r="C38" s="109"/>
      <c r="D38" s="109"/>
      <c r="E38" s="109"/>
      <c r="F38" s="109"/>
      <c r="G38" s="109"/>
      <c r="H38" s="109"/>
      <c r="I38" s="109"/>
      <c r="J38" s="109"/>
      <c r="K38" s="110"/>
    </row>
    <row r="39" spans="2:21" ht="40.15" customHeight="1">
      <c r="B39" s="5"/>
      <c r="C39" s="6">
        <v>1</v>
      </c>
      <c r="D39" s="37">
        <v>0.58333333333333337</v>
      </c>
      <c r="E39" s="34" t="s">
        <v>124</v>
      </c>
      <c r="F39" s="5"/>
      <c r="G39" s="95" t="s">
        <v>110</v>
      </c>
      <c r="H39" s="33"/>
      <c r="I39" s="34" t="s">
        <v>111</v>
      </c>
      <c r="J39" s="5"/>
      <c r="K39" s="5"/>
      <c r="M39" s="43">
        <v>1.7361111111111112E-2</v>
      </c>
    </row>
    <row r="40" spans="2:21" ht="40.15" customHeight="1">
      <c r="B40" s="29"/>
      <c r="C40" s="47">
        <v>2</v>
      </c>
      <c r="D40" s="105">
        <v>0.59027777777777779</v>
      </c>
      <c r="E40" s="101" t="s">
        <v>125</v>
      </c>
      <c r="F40" s="102" t="s">
        <v>120</v>
      </c>
      <c r="G40" s="103">
        <v>46083</v>
      </c>
      <c r="H40" s="104"/>
      <c r="I40" s="104"/>
      <c r="J40" s="104"/>
      <c r="K40" s="47" t="s">
        <v>27</v>
      </c>
      <c r="M40" s="43">
        <v>2.0833333333333332E-2</v>
      </c>
      <c r="N40" s="86">
        <v>0.61458333333333337</v>
      </c>
      <c r="O40" s="3">
        <v>251</v>
      </c>
      <c r="P40" s="3">
        <v>82</v>
      </c>
      <c r="Q40" s="3">
        <v>86</v>
      </c>
      <c r="R40" s="3">
        <v>87</v>
      </c>
    </row>
    <row r="41" spans="2:21" ht="40.15" hidden="1" customHeight="1">
      <c r="B41" s="29"/>
      <c r="C41" s="6">
        <v>6</v>
      </c>
      <c r="D41" s="106">
        <v>0.59722222222222221</v>
      </c>
      <c r="E41" s="34" t="s">
        <v>126</v>
      </c>
      <c r="F41" s="5" t="s">
        <v>120</v>
      </c>
      <c r="G41" s="88">
        <v>46083</v>
      </c>
      <c r="H41" s="33"/>
      <c r="I41" s="33"/>
      <c r="J41" s="33"/>
      <c r="K41" s="46" t="s">
        <v>59</v>
      </c>
      <c r="M41" s="43">
        <v>2.4305555555555556E-2</v>
      </c>
    </row>
    <row r="42" spans="2:21" ht="40.15" hidden="1" customHeight="1">
      <c r="B42" s="29"/>
      <c r="C42" s="6">
        <v>6</v>
      </c>
      <c r="D42" s="106">
        <v>0.61875000000000002</v>
      </c>
      <c r="E42" s="34" t="s">
        <v>126</v>
      </c>
      <c r="F42" s="5" t="s">
        <v>120</v>
      </c>
      <c r="G42" s="88">
        <v>46083</v>
      </c>
      <c r="H42" s="33"/>
      <c r="I42" s="33"/>
      <c r="J42" s="33"/>
      <c r="K42" s="87"/>
      <c r="M42" s="43">
        <v>2.7777777777777776E-2</v>
      </c>
    </row>
    <row r="43" spans="2:21" ht="40.15" hidden="1" customHeight="1">
      <c r="B43" s="29"/>
      <c r="C43" s="6">
        <v>7</v>
      </c>
      <c r="D43" s="106">
        <v>0.62013888888888891</v>
      </c>
      <c r="E43" s="34" t="s">
        <v>127</v>
      </c>
      <c r="F43" s="5" t="s">
        <v>120</v>
      </c>
      <c r="G43" s="88">
        <v>46083</v>
      </c>
      <c r="H43" s="33"/>
      <c r="I43" s="33"/>
      <c r="J43" s="33"/>
      <c r="K43" s="6" t="s">
        <v>60</v>
      </c>
      <c r="M43" s="43">
        <v>3.125E-2</v>
      </c>
      <c r="S43" s="3">
        <v>9</v>
      </c>
      <c r="T43" s="3">
        <v>9</v>
      </c>
      <c r="U43" s="3">
        <v>9</v>
      </c>
    </row>
    <row r="44" spans="2:21" ht="40.15" hidden="1" customHeight="1">
      <c r="B44" s="29"/>
      <c r="C44" s="6">
        <v>8</v>
      </c>
      <c r="D44" s="106">
        <v>0.40694444444444444</v>
      </c>
      <c r="E44" s="34" t="s">
        <v>128</v>
      </c>
      <c r="F44" s="5" t="s">
        <v>120</v>
      </c>
      <c r="G44" s="88">
        <v>46084</v>
      </c>
      <c r="H44" s="33"/>
      <c r="I44" s="33"/>
      <c r="J44" s="33"/>
      <c r="K44" s="46" t="s">
        <v>61</v>
      </c>
      <c r="M44" s="43">
        <v>3.4722222222222224E-2</v>
      </c>
      <c r="S44" s="3">
        <v>0</v>
      </c>
      <c r="T44" s="3">
        <v>0</v>
      </c>
      <c r="U44" s="3">
        <v>0</v>
      </c>
    </row>
    <row r="45" spans="2:21" ht="40.15" hidden="1" customHeight="1">
      <c r="B45" s="29"/>
      <c r="C45" s="6">
        <v>9</v>
      </c>
      <c r="D45" s="106">
        <v>0.41041666666666665</v>
      </c>
      <c r="E45" s="34" t="s">
        <v>129</v>
      </c>
      <c r="F45" s="5" t="s">
        <v>120</v>
      </c>
      <c r="G45" s="88">
        <v>46084</v>
      </c>
      <c r="H45" s="33"/>
      <c r="I45" s="33"/>
      <c r="J45" s="33"/>
      <c r="K45" s="87"/>
      <c r="M45" s="43">
        <v>3.8194444444444448E-2</v>
      </c>
      <c r="S45" s="3">
        <v>8.6999999999999993</v>
      </c>
      <c r="T45" s="3">
        <v>8.1</v>
      </c>
      <c r="U45" s="3">
        <v>8.5</v>
      </c>
    </row>
    <row r="46" spans="2:21" ht="40.15" customHeight="1">
      <c r="B46" s="29"/>
      <c r="C46" s="47">
        <v>3</v>
      </c>
      <c r="D46" s="105">
        <v>0.59375</v>
      </c>
      <c r="E46" s="101" t="s">
        <v>125</v>
      </c>
      <c r="F46" s="102" t="s">
        <v>120</v>
      </c>
      <c r="G46" s="103">
        <v>46083</v>
      </c>
      <c r="H46" s="104"/>
      <c r="I46" s="104"/>
      <c r="J46" s="104"/>
      <c r="K46" s="47" t="s">
        <v>27</v>
      </c>
    </row>
    <row r="47" spans="2:21" ht="36" customHeight="1">
      <c r="B47" s="30"/>
      <c r="C47" s="6">
        <v>3</v>
      </c>
      <c r="D47" s="106">
        <v>0.59444444444444444</v>
      </c>
      <c r="E47" s="34" t="s">
        <v>130</v>
      </c>
      <c r="F47" s="5" t="s">
        <v>120</v>
      </c>
      <c r="G47" s="88">
        <v>46084</v>
      </c>
      <c r="H47" s="33"/>
      <c r="I47" s="33"/>
      <c r="J47" s="33"/>
      <c r="K47" s="6" t="s">
        <v>62</v>
      </c>
    </row>
    <row r="48" spans="2:21" ht="19.899999999999999" customHeight="1"/>
    <row r="49" spans="4:5" ht="19.899999999999999" customHeight="1">
      <c r="D49" s="4" t="s">
        <v>131</v>
      </c>
      <c r="E49" s="3" t="s">
        <v>132</v>
      </c>
    </row>
    <row r="50" spans="4:5" ht="19.899999999999999" customHeight="1">
      <c r="E50" s="3" t="s">
        <v>133</v>
      </c>
    </row>
    <row r="51" spans="4:5" ht="19.899999999999999" customHeight="1">
      <c r="D51" s="4"/>
    </row>
    <row r="52" spans="4:5" ht="19.899999999999999" customHeight="1"/>
    <row r="53" spans="4:5" ht="19.899999999999999" customHeight="1"/>
    <row r="54" spans="4:5" ht="19.899999999999999" customHeight="1"/>
    <row r="55" spans="4:5" ht="19.899999999999999" customHeight="1"/>
    <row r="56" spans="4:5" ht="19.899999999999999" customHeight="1"/>
    <row r="57" spans="4:5" ht="19.899999999999999" customHeight="1"/>
    <row r="58" spans="4:5" ht="19.899999999999999" customHeight="1"/>
    <row r="59" spans="4:5" ht="19.899999999999999" customHeight="1"/>
    <row r="60" spans="4:5" ht="19.899999999999999" customHeight="1"/>
    <row r="61" spans="4:5" ht="19.899999999999999" customHeight="1"/>
    <row r="62" spans="4:5" ht="19.899999999999999" customHeight="1"/>
    <row r="63" spans="4:5" ht="19.899999999999999" customHeight="1"/>
    <row r="64" spans="4:5" ht="19.899999999999999" customHeight="1"/>
    <row r="65" ht="19.899999999999999" customHeight="1"/>
    <row r="66" ht="19.899999999999999" customHeight="1"/>
    <row r="67" ht="19.899999999999999" customHeight="1"/>
    <row r="68" ht="19.899999999999999" customHeight="1"/>
    <row r="69" ht="19.899999999999999" customHeight="1"/>
  </sheetData>
  <mergeCells count="10">
    <mergeCell ref="K35:K36"/>
    <mergeCell ref="B38:K38"/>
    <mergeCell ref="B31:K31"/>
    <mergeCell ref="C32:C33"/>
    <mergeCell ref="K32:K33"/>
    <mergeCell ref="E33:F33"/>
    <mergeCell ref="G33:H33"/>
    <mergeCell ref="I33:J33"/>
    <mergeCell ref="D32:D33"/>
    <mergeCell ref="E32:J32"/>
  </mergeCells>
  <phoneticPr fontId="2"/>
  <pageMargins left="0.31496062992125984" right="0.31496062992125984" top="0.74803149606299213" bottom="0.74803149606299213" header="0.31496062992125984" footer="0.31496062992125984"/>
  <pageSetup paperSize="9" scale="71"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7B8B5-C43D-4515-B37D-12222444E264}">
  <sheetPr>
    <pageSetUpPr fitToPage="1"/>
  </sheetPr>
  <dimension ref="B1:M61"/>
  <sheetViews>
    <sheetView view="pageBreakPreview" zoomScale="85" zoomScaleNormal="85" zoomScaleSheetLayoutView="85" workbookViewId="0">
      <selection activeCell="D30" sqref="D30"/>
    </sheetView>
  </sheetViews>
  <sheetFormatPr defaultColWidth="8.7265625" defaultRowHeight="15"/>
  <cols>
    <col min="1" max="1" width="1.7265625" style="3" customWidth="1"/>
    <col min="2" max="2" width="6.7265625" style="3" customWidth="1"/>
    <col min="3" max="3" width="4.26953125" style="3" customWidth="1"/>
    <col min="4" max="4" width="8.7265625" style="3" customWidth="1"/>
    <col min="5" max="5" width="35.7265625" style="3" customWidth="1"/>
    <col min="6" max="6" width="4.453125" style="3" customWidth="1"/>
    <col min="7" max="7" width="25.7265625" style="3" customWidth="1"/>
    <col min="8" max="8" width="4.453125" style="3" customWidth="1"/>
    <col min="9" max="9" width="30.7265625" style="3" customWidth="1"/>
    <col min="10" max="10" width="4.453125" style="3" customWidth="1"/>
    <col min="11" max="11" width="7.453125" style="3" bestFit="1" customWidth="1"/>
    <col min="12" max="12" width="1.7265625" style="3" customWidth="1"/>
    <col min="13" max="13" width="9"/>
    <col min="14" max="14" width="11.7265625" style="3" bestFit="1" customWidth="1"/>
    <col min="15" max="16384" width="8.7265625" style="3"/>
  </cols>
  <sheetData>
    <row r="1" spans="2:11" ht="21" customHeight="1">
      <c r="B1" s="13" t="s">
        <v>134</v>
      </c>
      <c r="C1" s="4"/>
      <c r="D1" s="4"/>
      <c r="K1" s="4"/>
    </row>
    <row r="2" spans="2:11" ht="16">
      <c r="B2" s="40"/>
      <c r="C2" s="4"/>
      <c r="D2" s="4"/>
      <c r="J2" s="4" t="s">
        <v>82</v>
      </c>
      <c r="K2" s="4"/>
    </row>
    <row r="3" spans="2:11">
      <c r="B3" s="19" t="s">
        <v>83</v>
      </c>
      <c r="C3" s="22" t="s">
        <v>135</v>
      </c>
      <c r="D3" s="23"/>
      <c r="E3" s="23"/>
      <c r="F3" s="23"/>
      <c r="G3" s="23"/>
      <c r="H3" s="23"/>
      <c r="I3" s="23"/>
      <c r="J3" s="23"/>
      <c r="K3" s="35"/>
    </row>
    <row r="4" spans="2:11">
      <c r="B4" s="20"/>
      <c r="C4" s="25"/>
      <c r="K4" s="17"/>
    </row>
    <row r="5" spans="2:11">
      <c r="B5" s="20"/>
      <c r="C5" s="25"/>
      <c r="K5" s="17"/>
    </row>
    <row r="6" spans="2:11">
      <c r="B6" s="21"/>
      <c r="C6" s="26"/>
      <c r="D6" s="27"/>
      <c r="E6" s="27"/>
      <c r="F6" s="27"/>
      <c r="G6" s="27"/>
      <c r="H6" s="27"/>
      <c r="I6" s="27" t="s">
        <v>136</v>
      </c>
      <c r="J6" s="27"/>
      <c r="K6" s="36"/>
    </row>
    <row r="7" spans="2:11">
      <c r="B7" s="19" t="s">
        <v>87</v>
      </c>
      <c r="C7" s="22" t="s">
        <v>88</v>
      </c>
      <c r="D7" s="23"/>
      <c r="E7" s="23"/>
      <c r="F7" s="23"/>
      <c r="G7" s="23"/>
      <c r="H7" s="23"/>
      <c r="I7" s="23"/>
      <c r="J7" s="23"/>
      <c r="K7" s="35"/>
    </row>
    <row r="8" spans="2:11">
      <c r="B8" s="20"/>
      <c r="C8" s="25" t="s">
        <v>89</v>
      </c>
      <c r="K8" s="17"/>
    </row>
    <row r="9" spans="2:11">
      <c r="B9" s="21"/>
      <c r="C9" s="26"/>
      <c r="D9" s="27"/>
      <c r="E9" s="27"/>
      <c r="F9" s="27"/>
      <c r="G9" s="27"/>
      <c r="H9" s="27"/>
      <c r="I9" s="27"/>
      <c r="J9" s="27"/>
      <c r="K9" s="36"/>
    </row>
    <row r="10" spans="2:11">
      <c r="B10" s="19" t="s">
        <v>90</v>
      </c>
      <c r="C10" s="3" t="s">
        <v>137</v>
      </c>
      <c r="D10" s="23"/>
      <c r="E10" s="23"/>
      <c r="F10" s="23"/>
      <c r="G10" s="23"/>
      <c r="H10" s="23"/>
      <c r="I10" s="23"/>
      <c r="J10" s="23"/>
      <c r="K10" s="24"/>
    </row>
    <row r="11" spans="2:11">
      <c r="B11" s="29"/>
      <c r="K11" s="18"/>
    </row>
    <row r="12" spans="2:11">
      <c r="B12" s="29"/>
      <c r="C12" s="3" t="s">
        <v>138</v>
      </c>
      <c r="K12" s="18" t="s">
        <v>26</v>
      </c>
    </row>
    <row r="13" spans="2:11">
      <c r="B13" s="29"/>
      <c r="C13" s="3" t="s">
        <v>139</v>
      </c>
      <c r="K13" s="18" t="s">
        <v>27</v>
      </c>
    </row>
    <row r="14" spans="2:11">
      <c r="B14" s="29"/>
      <c r="C14" s="3" t="s">
        <v>140</v>
      </c>
      <c r="K14" s="18" t="s">
        <v>59</v>
      </c>
    </row>
    <row r="15" spans="2:11">
      <c r="B15" s="29"/>
      <c r="C15" s="3" t="s">
        <v>141</v>
      </c>
      <c r="K15" s="18"/>
    </row>
    <row r="16" spans="2:11">
      <c r="B16" s="29"/>
      <c r="K16" s="18"/>
    </row>
    <row r="17" spans="2:13">
      <c r="B17" s="29"/>
      <c r="K17" s="18"/>
    </row>
    <row r="18" spans="2:13">
      <c r="B18" s="29"/>
      <c r="K18" s="18"/>
    </row>
    <row r="19" spans="2:13">
      <c r="B19" s="29"/>
      <c r="K19" s="18"/>
    </row>
    <row r="20" spans="2:13">
      <c r="B20" s="29"/>
      <c r="K20" s="18"/>
    </row>
    <row r="21" spans="2:13">
      <c r="B21" s="29"/>
      <c r="K21" s="18"/>
    </row>
    <row r="22" spans="2:13">
      <c r="B22" s="29"/>
      <c r="K22" s="18"/>
    </row>
    <row r="23" spans="2:13">
      <c r="B23" s="29"/>
      <c r="K23" s="18"/>
    </row>
    <row r="24" spans="2:13">
      <c r="B24" s="29"/>
      <c r="K24" s="18"/>
    </row>
    <row r="25" spans="2:13">
      <c r="B25" s="29"/>
      <c r="K25" s="18"/>
    </row>
    <row r="26" spans="2:13">
      <c r="B26" s="30"/>
      <c r="C26" s="32"/>
      <c r="D26" s="27"/>
      <c r="E26" s="27"/>
      <c r="F26" s="27"/>
      <c r="G26" s="27"/>
      <c r="H26" s="27"/>
      <c r="I26" s="27"/>
      <c r="J26" s="27"/>
      <c r="K26" s="28"/>
    </row>
    <row r="28" spans="2:13">
      <c r="B28" s="19" t="s">
        <v>101</v>
      </c>
      <c r="C28" s="111" t="s">
        <v>102</v>
      </c>
      <c r="D28" s="112" t="s">
        <v>103</v>
      </c>
      <c r="E28" s="114" t="s">
        <v>104</v>
      </c>
      <c r="F28" s="115"/>
      <c r="G28" s="115"/>
      <c r="H28" s="115"/>
      <c r="I28" s="115"/>
      <c r="J28" s="116"/>
      <c r="K28" s="112" t="s">
        <v>105</v>
      </c>
      <c r="M28" s="3"/>
    </row>
    <row r="29" spans="2:13">
      <c r="B29" s="31"/>
      <c r="C29" s="111"/>
      <c r="D29" s="113"/>
      <c r="E29" s="111" t="s">
        <v>106</v>
      </c>
      <c r="F29" s="111"/>
      <c r="G29" s="111" t="s">
        <v>107</v>
      </c>
      <c r="H29" s="111"/>
      <c r="I29" s="111" t="s">
        <v>108</v>
      </c>
      <c r="J29" s="111"/>
      <c r="K29" s="113"/>
    </row>
    <row r="30" spans="2:13" ht="40.15" customHeight="1">
      <c r="B30" s="31"/>
      <c r="C30" s="6">
        <v>1</v>
      </c>
      <c r="D30" s="37">
        <v>0.60416666666666663</v>
      </c>
      <c r="E30" s="5" t="s">
        <v>142</v>
      </c>
      <c r="F30" s="5"/>
      <c r="G30" s="33"/>
      <c r="H30" s="33"/>
      <c r="I30" s="34" t="s">
        <v>111</v>
      </c>
      <c r="J30" s="5"/>
      <c r="K30" s="5"/>
      <c r="M30" s="42"/>
    </row>
    <row r="31" spans="2:13" ht="40.15" customHeight="1">
      <c r="B31" s="31"/>
      <c r="C31" s="6">
        <v>2</v>
      </c>
      <c r="D31" s="85">
        <v>0.625</v>
      </c>
      <c r="E31" s="34" t="s">
        <v>143</v>
      </c>
      <c r="F31" s="5" t="s">
        <v>120</v>
      </c>
      <c r="G31" s="88">
        <v>46085</v>
      </c>
      <c r="H31" s="33"/>
      <c r="I31" s="33"/>
      <c r="J31" s="33"/>
      <c r="K31" s="129" t="s">
        <v>26</v>
      </c>
      <c r="M31" s="43">
        <v>3.472222222222222E-3</v>
      </c>
    </row>
    <row r="32" spans="2:13" ht="40.15" customHeight="1">
      <c r="B32" s="29"/>
      <c r="C32" s="6">
        <v>3</v>
      </c>
      <c r="D32" s="85">
        <v>0.62569444444444444</v>
      </c>
      <c r="E32" s="34" t="s">
        <v>144</v>
      </c>
      <c r="F32" s="5" t="s">
        <v>120</v>
      </c>
      <c r="G32" s="88">
        <v>46085</v>
      </c>
      <c r="H32" s="33"/>
      <c r="I32" s="33"/>
      <c r="J32" s="33"/>
      <c r="K32" s="130"/>
      <c r="M32" s="43">
        <v>1.0416666666666666E-2</v>
      </c>
    </row>
    <row r="33" spans="2:13" ht="40.15" customHeight="1">
      <c r="B33" s="29"/>
      <c r="C33" s="6">
        <v>4</v>
      </c>
      <c r="D33" s="85">
        <v>0.63194444444444442</v>
      </c>
      <c r="E33" s="34" t="s">
        <v>145</v>
      </c>
      <c r="F33" s="5" t="s">
        <v>120</v>
      </c>
      <c r="G33" s="88">
        <v>46085</v>
      </c>
      <c r="H33" s="33"/>
      <c r="I33" s="33"/>
      <c r="J33" s="33"/>
      <c r="K33" s="131"/>
      <c r="M33" s="43">
        <v>1.7361111111111112E-2</v>
      </c>
    </row>
    <row r="34" spans="2:13" ht="40.15" customHeight="1">
      <c r="B34" s="29"/>
      <c r="C34" s="6">
        <v>5</v>
      </c>
      <c r="D34" s="85">
        <v>0.64583333333333337</v>
      </c>
      <c r="E34" s="34" t="s">
        <v>146</v>
      </c>
      <c r="F34" s="5" t="s">
        <v>120</v>
      </c>
      <c r="G34" s="88">
        <v>46085</v>
      </c>
      <c r="H34" s="33"/>
      <c r="I34" s="33"/>
      <c r="J34" s="33"/>
      <c r="K34" s="129" t="s">
        <v>27</v>
      </c>
      <c r="M34" s="43">
        <v>2.4305555555555556E-2</v>
      </c>
    </row>
    <row r="35" spans="2:13" ht="40.15" customHeight="1">
      <c r="B35" s="29"/>
      <c r="C35" s="6">
        <v>6</v>
      </c>
      <c r="D35" s="85">
        <v>0.64583333333333337</v>
      </c>
      <c r="E35" s="34" t="s">
        <v>147</v>
      </c>
      <c r="F35" s="5" t="s">
        <v>120</v>
      </c>
      <c r="G35" s="88">
        <v>46085</v>
      </c>
      <c r="H35" s="33"/>
      <c r="I35" s="33"/>
      <c r="J35" s="33"/>
      <c r="K35" s="130"/>
      <c r="M35" s="43">
        <v>3.125E-2</v>
      </c>
    </row>
    <row r="36" spans="2:13" ht="40.15" customHeight="1">
      <c r="B36" s="29"/>
      <c r="C36" s="6">
        <v>7</v>
      </c>
      <c r="D36" s="85">
        <v>0.64652777777777781</v>
      </c>
      <c r="E36" s="34" t="s">
        <v>148</v>
      </c>
      <c r="F36" s="5" t="s">
        <v>120</v>
      </c>
      <c r="G36" s="88">
        <v>46085</v>
      </c>
      <c r="H36" s="33"/>
      <c r="I36" s="33"/>
      <c r="J36" s="33"/>
      <c r="K36" s="131"/>
      <c r="M36" s="43">
        <v>3.8194444444444448E-2</v>
      </c>
    </row>
    <row r="37" spans="2:13" ht="40.15" customHeight="1">
      <c r="B37" s="29"/>
      <c r="C37" s="6">
        <v>8</v>
      </c>
      <c r="D37" s="85">
        <v>0.66666666666666663</v>
      </c>
      <c r="E37" s="34" t="s">
        <v>149</v>
      </c>
      <c r="F37" s="5" t="s">
        <v>120</v>
      </c>
      <c r="G37" s="88">
        <v>46085</v>
      </c>
      <c r="H37" s="33"/>
      <c r="I37" s="33"/>
      <c r="J37" s="33"/>
      <c r="K37" s="129" t="s">
        <v>59</v>
      </c>
      <c r="M37" s="43">
        <v>4.5138888888888888E-2</v>
      </c>
    </row>
    <row r="38" spans="2:13" ht="40.15" customHeight="1">
      <c r="B38" s="29"/>
      <c r="C38" s="6">
        <v>9</v>
      </c>
      <c r="D38" s="85">
        <v>0.66736111111111107</v>
      </c>
      <c r="E38" s="34" t="s">
        <v>150</v>
      </c>
      <c r="F38" s="5" t="s">
        <v>120</v>
      </c>
      <c r="G38" s="88">
        <v>46085</v>
      </c>
      <c r="H38" s="33"/>
      <c r="I38" s="33"/>
      <c r="J38" s="33"/>
      <c r="K38" s="130"/>
      <c r="M38" s="43">
        <v>5.2083333333333336E-2</v>
      </c>
    </row>
    <row r="39" spans="2:13" ht="40.15" customHeight="1">
      <c r="B39" s="30"/>
      <c r="C39" s="6">
        <v>10</v>
      </c>
      <c r="D39" s="85">
        <v>0.67361111111111116</v>
      </c>
      <c r="E39" s="34" t="s">
        <v>151</v>
      </c>
      <c r="F39" s="5" t="s">
        <v>120</v>
      </c>
      <c r="G39" s="88">
        <v>46085</v>
      </c>
      <c r="H39" s="33"/>
      <c r="I39" s="33"/>
      <c r="J39" s="33"/>
      <c r="K39" s="131"/>
      <c r="M39" s="43">
        <v>5.9027777777777776E-2</v>
      </c>
    </row>
    <row r="40" spans="2:13" ht="19.899999999999999" customHeight="1">
      <c r="D40" s="4" t="s">
        <v>131</v>
      </c>
      <c r="E40" s="3" t="s">
        <v>132</v>
      </c>
    </row>
    <row r="41" spans="2:13" ht="19.899999999999999" customHeight="1">
      <c r="E41" s="3" t="s">
        <v>133</v>
      </c>
    </row>
    <row r="42" spans="2:13" ht="19.899999999999999" customHeight="1"/>
    <row r="43" spans="2:13" ht="19.899999999999999" customHeight="1">
      <c r="D43" s="4"/>
    </row>
    <row r="44" spans="2:13" ht="19.899999999999999" customHeight="1"/>
    <row r="45" spans="2:13" ht="19.899999999999999" customHeight="1"/>
    <row r="46" spans="2:13" ht="19.899999999999999" customHeight="1"/>
    <row r="47" spans="2:13" ht="19.899999999999999" customHeight="1">
      <c r="D47" s="4"/>
    </row>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sheetData>
  <mergeCells count="10">
    <mergeCell ref="K31:K33"/>
    <mergeCell ref="K34:K36"/>
    <mergeCell ref="K37:K39"/>
    <mergeCell ref="C28:C29"/>
    <mergeCell ref="D28:D29"/>
    <mergeCell ref="E28:J28"/>
    <mergeCell ref="K28:K29"/>
    <mergeCell ref="E29:F29"/>
    <mergeCell ref="G29:H29"/>
    <mergeCell ref="I29:J29"/>
  </mergeCells>
  <phoneticPr fontId="2"/>
  <pageMargins left="0.31496062992125984" right="0.31496062992125984" top="0.74803149606299213" bottom="0.74803149606299213" header="0.31496062992125984" footer="0.31496062992125984"/>
  <pageSetup paperSize="9" scale="71" fitToHeight="0"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979E-3F7B-4B34-B2B0-5C0C53FC3EC8}">
  <sheetPr>
    <pageSetUpPr fitToPage="1"/>
  </sheetPr>
  <dimension ref="B1:N72"/>
  <sheetViews>
    <sheetView view="pageBreakPreview" zoomScale="80" zoomScaleNormal="85" zoomScaleSheetLayoutView="80" workbookViewId="0">
      <selection activeCell="L19" sqref="L19"/>
    </sheetView>
  </sheetViews>
  <sheetFormatPr defaultColWidth="8.7265625" defaultRowHeight="15"/>
  <cols>
    <col min="1" max="1" width="1.7265625" style="3" customWidth="1"/>
    <col min="2" max="2" width="6.7265625" style="3" customWidth="1"/>
    <col min="3" max="3" width="4.26953125" style="3" customWidth="1"/>
    <col min="4" max="4" width="7.7265625" style="3" bestFit="1" customWidth="1"/>
    <col min="5" max="5" width="8.7265625" style="3" customWidth="1"/>
    <col min="6" max="6" width="35.7265625" style="3" customWidth="1"/>
    <col min="7" max="7" width="4.453125" style="3" customWidth="1"/>
    <col min="8" max="8" width="25.7265625" style="3" customWidth="1"/>
    <col min="9" max="9" width="4.453125" style="3" customWidth="1"/>
    <col min="10" max="10" width="30.7265625" style="3" customWidth="1"/>
    <col min="11" max="11" width="4.453125" style="3" customWidth="1"/>
    <col min="12" max="12" width="7.453125" style="3" bestFit="1" customWidth="1"/>
    <col min="13" max="13" width="1.7265625" style="3" customWidth="1"/>
    <col min="14" max="14" width="8.7265625" style="42"/>
    <col min="15" max="15" width="11.7265625" style="3" bestFit="1" customWidth="1"/>
    <col min="16" max="16384" width="8.7265625" style="3"/>
  </cols>
  <sheetData>
    <row r="1" spans="2:14" ht="21" customHeight="1">
      <c r="B1" s="13" t="s">
        <v>152</v>
      </c>
      <c r="C1" s="4"/>
      <c r="D1" s="4"/>
      <c r="E1" s="4"/>
      <c r="L1" s="4"/>
    </row>
    <row r="2" spans="2:14" ht="16">
      <c r="B2" s="40" t="s">
        <v>153</v>
      </c>
      <c r="C2" s="39"/>
      <c r="D2" s="4"/>
      <c r="E2" s="4"/>
      <c r="L2" s="4"/>
    </row>
    <row r="3" spans="2:14">
      <c r="B3" s="19" t="s">
        <v>83</v>
      </c>
      <c r="C3" s="25" t="s">
        <v>154</v>
      </c>
      <c r="D3" s="89"/>
      <c r="E3" s="23"/>
      <c r="F3" s="23"/>
      <c r="G3" s="23"/>
      <c r="H3" s="23"/>
      <c r="I3" s="23"/>
      <c r="J3" s="23"/>
      <c r="K3" s="23"/>
      <c r="L3" s="35"/>
    </row>
    <row r="4" spans="2:14">
      <c r="B4" s="20"/>
      <c r="C4" s="25" t="s">
        <v>155</v>
      </c>
      <c r="D4" s="89"/>
      <c r="L4" s="17"/>
    </row>
    <row r="5" spans="2:14">
      <c r="B5" s="21"/>
      <c r="C5" s="26"/>
      <c r="D5" s="90"/>
      <c r="E5" s="27"/>
      <c r="F5" s="27"/>
      <c r="G5" s="27"/>
      <c r="H5" s="27"/>
      <c r="I5" s="27"/>
      <c r="J5" s="27" t="s">
        <v>156</v>
      </c>
      <c r="K5" s="27"/>
      <c r="L5" s="36"/>
    </row>
    <row r="6" spans="2:14">
      <c r="B6" s="19" t="s">
        <v>87</v>
      </c>
      <c r="C6" s="22" t="s">
        <v>88</v>
      </c>
      <c r="D6" s="91"/>
      <c r="E6" s="23"/>
      <c r="F6" s="23"/>
      <c r="G6" s="23"/>
      <c r="H6" s="23"/>
      <c r="I6" s="23"/>
      <c r="J6" s="23"/>
      <c r="K6" s="23"/>
      <c r="L6" s="35"/>
    </row>
    <row r="7" spans="2:14">
      <c r="B7" s="20"/>
      <c r="C7" s="25" t="s">
        <v>89</v>
      </c>
      <c r="D7" s="89"/>
      <c r="L7" s="17"/>
    </row>
    <row r="8" spans="2:14">
      <c r="B8" s="21"/>
      <c r="C8" s="26"/>
      <c r="D8" s="90"/>
      <c r="E8" s="27"/>
      <c r="F8" s="27"/>
      <c r="G8" s="27"/>
      <c r="H8" s="27"/>
      <c r="I8" s="27"/>
      <c r="J8" s="27"/>
      <c r="K8" s="27"/>
      <c r="L8" s="36"/>
    </row>
    <row r="9" spans="2:14">
      <c r="B9" s="19" t="s">
        <v>90</v>
      </c>
      <c r="C9" s="3" t="s">
        <v>140</v>
      </c>
      <c r="K9" s="23"/>
      <c r="L9" s="24" t="s">
        <v>26</v>
      </c>
    </row>
    <row r="10" spans="2:14">
      <c r="B10" s="31"/>
      <c r="C10" s="3" t="s">
        <v>157</v>
      </c>
      <c r="L10" s="18" t="s">
        <v>27</v>
      </c>
      <c r="N10" s="93" t="s">
        <v>158</v>
      </c>
    </row>
    <row r="11" spans="2:14">
      <c r="B11" s="29"/>
      <c r="C11" s="3" t="s">
        <v>159</v>
      </c>
      <c r="L11" s="18"/>
      <c r="N11" s="94" t="s">
        <v>160</v>
      </c>
    </row>
    <row r="12" spans="2:14">
      <c r="B12" s="29"/>
      <c r="L12" s="18" t="s">
        <v>59</v>
      </c>
    </row>
    <row r="13" spans="2:14">
      <c r="B13" s="29"/>
      <c r="C13" s="3" t="s">
        <v>161</v>
      </c>
      <c r="L13" s="18" t="s">
        <v>60</v>
      </c>
    </row>
    <row r="14" spans="2:14">
      <c r="B14" s="29"/>
      <c r="C14" s="3" t="s">
        <v>157</v>
      </c>
      <c r="L14" s="18" t="s">
        <v>61</v>
      </c>
    </row>
    <row r="15" spans="2:14">
      <c r="B15" s="29"/>
      <c r="C15" s="3" t="s">
        <v>159</v>
      </c>
      <c r="L15" s="18"/>
    </row>
    <row r="16" spans="2:14">
      <c r="B16" s="29"/>
      <c r="L16" s="18"/>
    </row>
    <row r="17" spans="2:12">
      <c r="B17" s="29"/>
      <c r="L17" s="18"/>
    </row>
    <row r="18" spans="2:12">
      <c r="B18" s="29"/>
      <c r="L18" s="18"/>
    </row>
    <row r="19" spans="2:12">
      <c r="B19" s="29"/>
      <c r="L19" s="18"/>
    </row>
    <row r="20" spans="2:12">
      <c r="B20" s="29"/>
      <c r="L20" s="18"/>
    </row>
    <row r="21" spans="2:12">
      <c r="B21" s="29"/>
      <c r="L21" s="18"/>
    </row>
    <row r="22" spans="2:12">
      <c r="B22" s="29"/>
      <c r="L22" s="18"/>
    </row>
    <row r="23" spans="2:12">
      <c r="B23" s="29"/>
      <c r="L23" s="18"/>
    </row>
    <row r="24" spans="2:12">
      <c r="B24" s="29"/>
      <c r="L24" s="18"/>
    </row>
    <row r="25" spans="2:12">
      <c r="B25" s="29"/>
      <c r="L25" s="18"/>
    </row>
    <row r="26" spans="2:12">
      <c r="B26" s="29"/>
      <c r="L26" s="18"/>
    </row>
    <row r="27" spans="2:12">
      <c r="B27" s="29"/>
      <c r="L27" s="18"/>
    </row>
    <row r="28" spans="2:12">
      <c r="B28" s="29"/>
      <c r="L28" s="18"/>
    </row>
    <row r="29" spans="2:12">
      <c r="B29" s="30"/>
      <c r="C29" s="32"/>
      <c r="D29" s="27"/>
      <c r="E29" s="27"/>
      <c r="F29" s="27"/>
      <c r="G29" s="27"/>
      <c r="H29" s="27"/>
      <c r="I29" s="27"/>
      <c r="J29" s="27"/>
      <c r="K29" s="27"/>
      <c r="L29" s="28"/>
    </row>
    <row r="31" spans="2:12">
      <c r="B31" s="19" t="s">
        <v>101</v>
      </c>
      <c r="C31" s="111" t="s">
        <v>102</v>
      </c>
      <c r="D31" s="112"/>
      <c r="E31" s="112" t="s">
        <v>103</v>
      </c>
      <c r="F31" s="114" t="s">
        <v>104</v>
      </c>
      <c r="G31" s="115"/>
      <c r="H31" s="115"/>
      <c r="I31" s="115"/>
      <c r="J31" s="115"/>
      <c r="K31" s="116"/>
      <c r="L31" s="19" t="s">
        <v>105</v>
      </c>
    </row>
    <row r="32" spans="2:12">
      <c r="B32" s="31"/>
      <c r="C32" s="111"/>
      <c r="D32" s="113"/>
      <c r="E32" s="113"/>
      <c r="F32" s="111" t="s">
        <v>106</v>
      </c>
      <c r="G32" s="111"/>
      <c r="H32" s="111" t="s">
        <v>107</v>
      </c>
      <c r="I32" s="111"/>
      <c r="J32" s="111" t="s">
        <v>108</v>
      </c>
      <c r="K32" s="111"/>
      <c r="L32" s="21"/>
    </row>
    <row r="33" spans="2:14" ht="40.15" customHeight="1">
      <c r="B33" s="31"/>
      <c r="C33" s="6">
        <v>1</v>
      </c>
      <c r="D33" s="92"/>
      <c r="E33" s="37">
        <v>0.44791666666666669</v>
      </c>
      <c r="F33" s="5" t="s">
        <v>142</v>
      </c>
      <c r="G33" s="5"/>
      <c r="H33" s="33"/>
      <c r="I33" s="33"/>
      <c r="J33" s="34" t="s">
        <v>111</v>
      </c>
      <c r="K33" s="5"/>
      <c r="L33" s="5"/>
    </row>
    <row r="34" spans="2:14" ht="40.15" customHeight="1">
      <c r="B34" s="31"/>
      <c r="C34" s="6">
        <v>2</v>
      </c>
      <c r="D34" s="92"/>
      <c r="E34" s="85">
        <v>0.56944444444444442</v>
      </c>
      <c r="F34" s="34" t="s">
        <v>162</v>
      </c>
      <c r="G34" s="5"/>
      <c r="H34" s="33"/>
      <c r="I34" s="33"/>
      <c r="J34" s="33"/>
      <c r="K34" s="33"/>
      <c r="L34" s="38"/>
      <c r="N34" s="43">
        <v>3.472222222222222E-3</v>
      </c>
    </row>
    <row r="35" spans="2:14" ht="40.15" customHeight="1">
      <c r="B35" s="29"/>
      <c r="C35" s="6">
        <v>3</v>
      </c>
      <c r="D35" s="6"/>
      <c r="E35" s="37">
        <f t="shared" ref="E35:E36" si="0">E$33+N35</f>
        <v>0.45833333333333337</v>
      </c>
      <c r="F35" s="34" t="s">
        <v>150</v>
      </c>
      <c r="G35" s="5"/>
      <c r="H35" s="33"/>
      <c r="I35" s="33"/>
      <c r="J35" s="33"/>
      <c r="K35" s="132"/>
      <c r="L35" s="46" t="s">
        <v>26</v>
      </c>
      <c r="N35" s="43">
        <v>1.0416666666666666E-2</v>
      </c>
    </row>
    <row r="36" spans="2:14" ht="40.15" customHeight="1">
      <c r="B36" s="29"/>
      <c r="C36" s="6">
        <v>4</v>
      </c>
      <c r="D36" s="6"/>
      <c r="E36" s="37">
        <f t="shared" si="0"/>
        <v>0.46527777777777779</v>
      </c>
      <c r="F36" s="34" t="s">
        <v>151</v>
      </c>
      <c r="G36" s="5"/>
      <c r="H36" s="33"/>
      <c r="I36" s="33"/>
      <c r="J36" s="33"/>
      <c r="K36" s="132"/>
      <c r="L36" s="87"/>
      <c r="N36" s="43">
        <v>1.7361111111111112E-2</v>
      </c>
    </row>
    <row r="37" spans="2:14" ht="19.899999999999999" customHeight="1">
      <c r="B37" s="29"/>
      <c r="C37" s="6">
        <v>5</v>
      </c>
      <c r="D37" s="6"/>
      <c r="E37" s="37">
        <f t="shared" ref="E37:E42" si="1">E$33+N37</f>
        <v>0.46875</v>
      </c>
      <c r="F37" s="33"/>
      <c r="G37" s="33"/>
      <c r="H37" s="33"/>
      <c r="I37" s="33"/>
      <c r="J37" s="5" t="s">
        <v>163</v>
      </c>
      <c r="K37" s="133"/>
      <c r="L37" s="46" t="s">
        <v>27</v>
      </c>
      <c r="N37" s="43">
        <v>2.0833333333333332E-2</v>
      </c>
    </row>
    <row r="38" spans="2:14" ht="40.15" customHeight="1">
      <c r="B38" s="29"/>
      <c r="C38" s="6">
        <v>6</v>
      </c>
      <c r="D38" s="6"/>
      <c r="E38" s="37">
        <f t="shared" si="1"/>
        <v>0.47222222222222227</v>
      </c>
      <c r="F38" s="34" t="s">
        <v>164</v>
      </c>
      <c r="G38" s="5"/>
      <c r="H38" s="33"/>
      <c r="I38" s="33"/>
      <c r="J38" s="33"/>
      <c r="K38" s="132"/>
      <c r="L38" s="47"/>
      <c r="N38" s="43">
        <v>2.4305555555555556E-2</v>
      </c>
    </row>
    <row r="39" spans="2:14" ht="19.899999999999999" customHeight="1">
      <c r="B39" s="29"/>
      <c r="C39" s="6">
        <v>7</v>
      </c>
      <c r="D39" s="6"/>
      <c r="E39" s="37">
        <f t="shared" si="1"/>
        <v>0.47569444444444448</v>
      </c>
      <c r="F39" s="33"/>
      <c r="G39" s="33"/>
      <c r="H39" s="33"/>
      <c r="I39" s="33"/>
      <c r="J39" s="5" t="s">
        <v>165</v>
      </c>
      <c r="K39" s="5"/>
      <c r="L39" s="5"/>
      <c r="N39" s="43">
        <v>2.7777777777777776E-2</v>
      </c>
    </row>
    <row r="40" spans="2:14" ht="19.899999999999999" customHeight="1">
      <c r="B40" s="29"/>
      <c r="C40" s="6">
        <v>8</v>
      </c>
      <c r="D40" s="6"/>
      <c r="E40" s="37">
        <f t="shared" si="1"/>
        <v>0.47916666666666669</v>
      </c>
      <c r="F40" s="33"/>
      <c r="G40" s="33"/>
      <c r="H40" s="34" t="s">
        <v>166</v>
      </c>
      <c r="I40" s="5"/>
      <c r="J40" s="33"/>
      <c r="K40" s="132"/>
      <c r="L40" s="46" t="s">
        <v>59</v>
      </c>
      <c r="N40" s="43">
        <v>3.125E-2</v>
      </c>
    </row>
    <row r="41" spans="2:14" ht="19.899999999999999" customHeight="1">
      <c r="B41" s="29"/>
      <c r="C41" s="6">
        <v>9</v>
      </c>
      <c r="D41" s="6"/>
      <c r="E41" s="37">
        <f t="shared" si="1"/>
        <v>0.47916666666666669</v>
      </c>
      <c r="F41" s="34" t="s">
        <v>167</v>
      </c>
      <c r="G41" s="5"/>
      <c r="H41" s="33"/>
      <c r="I41" s="33"/>
      <c r="J41" s="33"/>
      <c r="K41" s="132"/>
      <c r="L41" s="87"/>
      <c r="N41" s="43">
        <v>3.125E-2</v>
      </c>
    </row>
    <row r="42" spans="2:14" ht="40.15" customHeight="1">
      <c r="B42" s="31"/>
      <c r="C42" s="6">
        <v>10</v>
      </c>
      <c r="D42" s="6"/>
      <c r="E42" s="37">
        <f t="shared" si="1"/>
        <v>0.49305555555555558</v>
      </c>
      <c r="F42" s="34" t="s">
        <v>168</v>
      </c>
      <c r="G42" s="5"/>
      <c r="H42" s="33"/>
      <c r="I42" s="33"/>
      <c r="J42" s="33"/>
      <c r="K42" s="132"/>
      <c r="L42" s="47"/>
      <c r="N42" s="43">
        <v>4.5138888888888888E-2</v>
      </c>
    </row>
    <row r="43" spans="2:14" ht="40.15" customHeight="1">
      <c r="B43" s="29"/>
      <c r="C43" s="6">
        <v>11</v>
      </c>
      <c r="D43" s="6"/>
      <c r="E43" s="37">
        <f t="shared" ref="E43:E44" si="2">E$33+N43</f>
        <v>0.5</v>
      </c>
      <c r="F43" s="34" t="s">
        <v>150</v>
      </c>
      <c r="G43" s="5"/>
      <c r="H43" s="33"/>
      <c r="I43" s="33"/>
      <c r="J43" s="33"/>
      <c r="K43" s="132"/>
      <c r="L43" s="46" t="s">
        <v>60</v>
      </c>
      <c r="N43" s="43">
        <v>5.2083333333333336E-2</v>
      </c>
    </row>
    <row r="44" spans="2:14" ht="40.15" customHeight="1">
      <c r="B44" s="29"/>
      <c r="C44" s="6">
        <v>12</v>
      </c>
      <c r="D44" s="6"/>
      <c r="E44" s="37">
        <f t="shared" si="2"/>
        <v>0.50694444444444442</v>
      </c>
      <c r="F44" s="34" t="s">
        <v>148</v>
      </c>
      <c r="G44" s="5"/>
      <c r="H44" s="33"/>
      <c r="I44" s="33"/>
      <c r="J44" s="33"/>
      <c r="K44" s="132"/>
      <c r="L44" s="87"/>
      <c r="N44" s="43">
        <v>5.9027777777777776E-2</v>
      </c>
    </row>
    <row r="45" spans="2:14" ht="19.899999999999999" customHeight="1">
      <c r="B45" s="29"/>
      <c r="C45" s="6">
        <v>13</v>
      </c>
      <c r="D45" s="6"/>
      <c r="E45" s="37">
        <f>E$33+N45</f>
        <v>0.51041666666666674</v>
      </c>
      <c r="F45" s="33"/>
      <c r="G45" s="33"/>
      <c r="H45" s="33"/>
      <c r="I45" s="33"/>
      <c r="J45" s="5" t="s">
        <v>163</v>
      </c>
      <c r="K45" s="133"/>
      <c r="L45" s="46" t="s">
        <v>61</v>
      </c>
      <c r="N45" s="43">
        <v>6.25E-2</v>
      </c>
    </row>
    <row r="46" spans="2:14" ht="40.15" customHeight="1">
      <c r="B46" s="29"/>
      <c r="C46" s="6">
        <v>14</v>
      </c>
      <c r="D46" s="6"/>
      <c r="E46" s="37">
        <f t="shared" ref="E46" si="3">E$33+N46</f>
        <v>0.51388888888888895</v>
      </c>
      <c r="F46" s="34" t="s">
        <v>164</v>
      </c>
      <c r="G46" s="5"/>
      <c r="H46" s="33"/>
      <c r="I46" s="33"/>
      <c r="J46" s="33"/>
      <c r="K46" s="132"/>
      <c r="L46" s="47"/>
      <c r="N46" s="43">
        <v>6.5972222222222224E-2</v>
      </c>
    </row>
    <row r="47" spans="2:14" ht="19.899999999999999" customHeight="1">
      <c r="B47" s="29"/>
      <c r="C47" s="6">
        <v>15</v>
      </c>
      <c r="D47" s="6"/>
      <c r="E47" s="37">
        <f>E$33+N47</f>
        <v>0.51736111111111116</v>
      </c>
      <c r="F47" s="33"/>
      <c r="G47" s="33"/>
      <c r="H47" s="33"/>
      <c r="I47" s="33"/>
      <c r="J47" s="5" t="s">
        <v>165</v>
      </c>
      <c r="K47" s="5"/>
      <c r="L47" s="5"/>
      <c r="N47" s="43">
        <v>6.9444444444444448E-2</v>
      </c>
    </row>
    <row r="48" spans="2:14" ht="19.899999999999999" customHeight="1">
      <c r="B48" s="29"/>
      <c r="C48" s="6">
        <v>16</v>
      </c>
      <c r="D48" s="6"/>
      <c r="E48" s="37">
        <f>E$33+N48</f>
        <v>0.52083333333333337</v>
      </c>
      <c r="F48" s="33"/>
      <c r="G48" s="33"/>
      <c r="H48" s="34" t="s">
        <v>166</v>
      </c>
      <c r="I48" s="5"/>
      <c r="J48" s="33"/>
      <c r="K48" s="33"/>
      <c r="L48" s="5"/>
      <c r="N48" s="43">
        <v>7.2916666666666671E-2</v>
      </c>
    </row>
    <row r="49" spans="2:14" ht="19.899999999999999" customHeight="1">
      <c r="B49" s="30"/>
      <c r="C49" s="6">
        <v>17</v>
      </c>
      <c r="D49" s="6"/>
      <c r="E49" s="37">
        <f>E$33+N49</f>
        <v>0.52083333333333337</v>
      </c>
      <c r="F49" s="34" t="s">
        <v>167</v>
      </c>
      <c r="G49" s="5"/>
      <c r="H49" s="33"/>
      <c r="I49" s="33"/>
      <c r="J49" s="33"/>
      <c r="K49" s="33"/>
      <c r="L49" s="5"/>
      <c r="N49" s="43">
        <v>7.2916666666666671E-2</v>
      </c>
    </row>
    <row r="50" spans="2:14" ht="19.899999999999999" customHeight="1"/>
    <row r="51" spans="2:14" ht="19.899999999999999" customHeight="1">
      <c r="E51" s="4" t="s">
        <v>131</v>
      </c>
      <c r="F51" s="3" t="s">
        <v>132</v>
      </c>
    </row>
    <row r="52" spans="2:14" ht="19.899999999999999" customHeight="1">
      <c r="F52" s="3" t="s">
        <v>169</v>
      </c>
    </row>
    <row r="53" spans="2:14" ht="19.899999999999999" customHeight="1"/>
    <row r="54" spans="2:14" ht="19.899999999999999" customHeight="1">
      <c r="E54" s="4"/>
    </row>
    <row r="55" spans="2:14" ht="19.899999999999999" customHeight="1"/>
    <row r="56" spans="2:14" ht="19.899999999999999" customHeight="1"/>
    <row r="57" spans="2:14" ht="19.899999999999999" customHeight="1"/>
    <row r="58" spans="2:14" ht="19.899999999999999" customHeight="1">
      <c r="E58" s="4"/>
    </row>
    <row r="59" spans="2:14" ht="19.899999999999999" customHeight="1"/>
    <row r="60" spans="2:14" ht="19.899999999999999" customHeight="1"/>
    <row r="61" spans="2:14" ht="19.899999999999999" customHeight="1"/>
    <row r="62" spans="2:14" ht="19.899999999999999" customHeight="1"/>
    <row r="63" spans="2:14" ht="19.899999999999999" customHeight="1"/>
    <row r="64" spans="2:1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sheetData>
  <mergeCells count="12">
    <mergeCell ref="K43:K44"/>
    <mergeCell ref="K45:K46"/>
    <mergeCell ref="K40:K42"/>
    <mergeCell ref="C31:C32"/>
    <mergeCell ref="D31:D32"/>
    <mergeCell ref="E31:J31"/>
    <mergeCell ref="K31:K32"/>
    <mergeCell ref="E32:F32"/>
    <mergeCell ref="G32:H32"/>
    <mergeCell ref="I32:J32"/>
    <mergeCell ref="K35:K36"/>
    <mergeCell ref="K37:K38"/>
  </mergeCells>
  <phoneticPr fontId="2"/>
  <pageMargins left="0.31496062992125984" right="0.31496062992125984" top="0.55118110236220474" bottom="0.35433070866141736" header="0.31496062992125984" footer="0.31496062992125984"/>
  <pageSetup paperSize="9" scale="67" fitToHeight="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22FE8-8048-4B00-91BD-2031FA2C1D86}">
  <sheetPr>
    <pageSetUpPr fitToPage="1"/>
  </sheetPr>
  <dimension ref="B1:M72"/>
  <sheetViews>
    <sheetView view="pageBreakPreview" zoomScale="70" zoomScaleNormal="85" zoomScaleSheetLayoutView="70" workbookViewId="0">
      <selection activeCell="I16" sqref="I16"/>
    </sheetView>
  </sheetViews>
  <sheetFormatPr defaultColWidth="8.7265625" defaultRowHeight="15"/>
  <cols>
    <col min="1" max="1" width="1.7265625" style="3" customWidth="1"/>
    <col min="2" max="2" width="6.7265625" style="3" customWidth="1"/>
    <col min="3" max="3" width="4.26953125" style="3" customWidth="1"/>
    <col min="4" max="4" width="8.7265625" style="3" customWidth="1"/>
    <col min="5" max="5" width="35.7265625" style="3" customWidth="1"/>
    <col min="6" max="6" width="4.453125" style="3" customWidth="1"/>
    <col min="7" max="7" width="25.7265625" style="3" customWidth="1"/>
    <col min="8" max="8" width="4.453125" style="3" customWidth="1"/>
    <col min="9" max="9" width="30.7265625" style="3" customWidth="1"/>
    <col min="10" max="10" width="4.453125" style="3" customWidth="1"/>
    <col min="11" max="11" width="7.453125" style="3" bestFit="1" customWidth="1"/>
    <col min="12" max="12" width="1.7265625" style="3" customWidth="1"/>
    <col min="13" max="13" width="8.7265625" style="42"/>
    <col min="14" max="14" width="8.453125" style="3" customWidth="1"/>
    <col min="15" max="16384" width="8.7265625" style="3"/>
  </cols>
  <sheetData>
    <row r="1" spans="2:11" ht="21" customHeight="1">
      <c r="B1" s="13" t="s">
        <v>152</v>
      </c>
      <c r="C1" s="4"/>
      <c r="D1" s="4"/>
      <c r="K1" s="4"/>
    </row>
    <row r="2" spans="2:11" ht="16">
      <c r="B2" s="40" t="s">
        <v>170</v>
      </c>
      <c r="C2" s="39"/>
      <c r="D2" s="4"/>
      <c r="K2" s="4"/>
    </row>
    <row r="3" spans="2:11">
      <c r="B3" s="19" t="s">
        <v>83</v>
      </c>
      <c r="C3" s="25" t="s">
        <v>171</v>
      </c>
      <c r="D3" s="23"/>
      <c r="E3" s="23"/>
      <c r="F3" s="23"/>
      <c r="G3" s="23"/>
      <c r="H3" s="23"/>
      <c r="I3" s="23"/>
      <c r="J3" s="23"/>
      <c r="K3" s="35"/>
    </row>
    <row r="4" spans="2:11">
      <c r="B4" s="20"/>
      <c r="C4" s="25" t="s">
        <v>172</v>
      </c>
      <c r="K4" s="17"/>
    </row>
    <row r="5" spans="2:11">
      <c r="B5" s="21"/>
      <c r="C5" s="49" t="s">
        <v>173</v>
      </c>
      <c r="D5" s="27"/>
      <c r="E5" s="27"/>
      <c r="F5" s="27"/>
      <c r="G5" s="27"/>
      <c r="H5" s="27"/>
      <c r="I5" s="27" t="s">
        <v>156</v>
      </c>
      <c r="J5" s="27"/>
      <c r="K5" s="36"/>
    </row>
    <row r="6" spans="2:11">
      <c r="B6" s="19" t="s">
        <v>87</v>
      </c>
      <c r="C6" s="22" t="s">
        <v>88</v>
      </c>
      <c r="D6" s="23"/>
      <c r="E6" s="23"/>
      <c r="F6" s="23"/>
      <c r="G6" s="23"/>
      <c r="H6" s="23"/>
      <c r="I6" s="23"/>
      <c r="J6" s="23"/>
      <c r="K6" s="35"/>
    </row>
    <row r="7" spans="2:11">
      <c r="B7" s="20"/>
      <c r="C7" s="25" t="s">
        <v>89</v>
      </c>
      <c r="K7" s="17"/>
    </row>
    <row r="8" spans="2:11">
      <c r="B8" s="21"/>
      <c r="C8" s="26"/>
      <c r="D8" s="27"/>
      <c r="E8" s="27"/>
      <c r="F8" s="27"/>
      <c r="G8" s="27"/>
      <c r="H8" s="27"/>
      <c r="I8" s="27"/>
      <c r="J8" s="27"/>
      <c r="K8" s="36"/>
    </row>
    <row r="9" spans="2:11">
      <c r="B9" s="19" t="s">
        <v>90</v>
      </c>
      <c r="C9" s="3" t="s">
        <v>174</v>
      </c>
      <c r="J9" s="23"/>
      <c r="K9" s="24" t="s">
        <v>26</v>
      </c>
    </row>
    <row r="10" spans="2:11">
      <c r="B10" s="31"/>
      <c r="C10" s="3" t="s">
        <v>140</v>
      </c>
      <c r="K10" s="18" t="s">
        <v>27</v>
      </c>
    </row>
    <row r="11" spans="2:11">
      <c r="B11" s="29"/>
      <c r="C11" s="3" t="s">
        <v>157</v>
      </c>
      <c r="K11" s="18"/>
    </row>
    <row r="12" spans="2:11">
      <c r="B12" s="29"/>
      <c r="C12" s="3" t="s">
        <v>159</v>
      </c>
      <c r="K12" s="18"/>
    </row>
    <row r="13" spans="2:11">
      <c r="B13" s="29"/>
      <c r="K13" s="18" t="s">
        <v>59</v>
      </c>
    </row>
    <row r="14" spans="2:11">
      <c r="B14" s="29"/>
      <c r="C14" s="3" t="s">
        <v>161</v>
      </c>
      <c r="K14" s="18" t="s">
        <v>60</v>
      </c>
    </row>
    <row r="15" spans="2:11">
      <c r="B15" s="29"/>
      <c r="C15" s="3" t="s">
        <v>157</v>
      </c>
      <c r="K15" s="18" t="s">
        <v>61</v>
      </c>
    </row>
    <row r="16" spans="2:11">
      <c r="B16" s="29"/>
      <c r="C16" s="3" t="s">
        <v>159</v>
      </c>
      <c r="K16" s="18"/>
    </row>
    <row r="17" spans="2:11">
      <c r="B17" s="29"/>
      <c r="K17" s="18"/>
    </row>
    <row r="18" spans="2:11">
      <c r="B18" s="29"/>
      <c r="K18" s="18"/>
    </row>
    <row r="19" spans="2:11">
      <c r="B19" s="29"/>
      <c r="K19" s="18"/>
    </row>
    <row r="20" spans="2:11">
      <c r="B20" s="29"/>
      <c r="K20" s="18"/>
    </row>
    <row r="21" spans="2:11">
      <c r="B21" s="29"/>
      <c r="K21" s="18"/>
    </row>
    <row r="22" spans="2:11">
      <c r="B22" s="29"/>
      <c r="K22" s="18"/>
    </row>
    <row r="23" spans="2:11">
      <c r="B23" s="29"/>
      <c r="K23" s="18"/>
    </row>
    <row r="24" spans="2:11">
      <c r="B24" s="29"/>
      <c r="K24" s="18"/>
    </row>
    <row r="25" spans="2:11">
      <c r="B25" s="29"/>
      <c r="K25" s="18"/>
    </row>
    <row r="26" spans="2:11">
      <c r="B26" s="29"/>
      <c r="K26" s="18"/>
    </row>
    <row r="27" spans="2:11">
      <c r="B27" s="29"/>
      <c r="K27" s="18"/>
    </row>
    <row r="28" spans="2:11">
      <c r="B28" s="29"/>
      <c r="K28" s="18"/>
    </row>
    <row r="29" spans="2:11">
      <c r="B29" s="30"/>
      <c r="C29" s="32"/>
      <c r="D29" s="27"/>
      <c r="E29" s="27"/>
      <c r="F29" s="27"/>
      <c r="G29" s="27"/>
      <c r="H29" s="27"/>
      <c r="I29" s="27"/>
      <c r="J29" s="27"/>
      <c r="K29" s="28"/>
    </row>
    <row r="31" spans="2:11">
      <c r="B31" s="19" t="s">
        <v>101</v>
      </c>
      <c r="C31" s="111" t="s">
        <v>102</v>
      </c>
      <c r="D31" s="112" t="s">
        <v>103</v>
      </c>
      <c r="E31" s="114" t="s">
        <v>104</v>
      </c>
      <c r="F31" s="115"/>
      <c r="G31" s="115"/>
      <c r="H31" s="115"/>
      <c r="I31" s="115"/>
      <c r="J31" s="116"/>
      <c r="K31" s="112" t="s">
        <v>105</v>
      </c>
    </row>
    <row r="32" spans="2:11">
      <c r="B32" s="31"/>
      <c r="C32" s="111"/>
      <c r="D32" s="113"/>
      <c r="E32" s="111" t="s">
        <v>106</v>
      </c>
      <c r="F32" s="111"/>
      <c r="G32" s="111" t="s">
        <v>107</v>
      </c>
      <c r="H32" s="111"/>
      <c r="I32" s="111" t="s">
        <v>108</v>
      </c>
      <c r="J32" s="111"/>
      <c r="K32" s="113"/>
    </row>
    <row r="33" spans="2:13" ht="40.15" customHeight="1">
      <c r="B33" s="31"/>
      <c r="C33" s="6">
        <v>1</v>
      </c>
      <c r="D33" s="37">
        <v>0.53125</v>
      </c>
      <c r="E33" s="5" t="s">
        <v>142</v>
      </c>
      <c r="F33" s="5"/>
      <c r="G33" s="33"/>
      <c r="H33" s="33"/>
      <c r="I33" s="34" t="s">
        <v>111</v>
      </c>
      <c r="J33" s="5"/>
      <c r="K33" s="5"/>
    </row>
    <row r="34" spans="2:13" ht="40.15" customHeight="1">
      <c r="B34" s="31"/>
      <c r="C34" s="6">
        <v>2</v>
      </c>
      <c r="D34" s="37">
        <f>D$33+M34</f>
        <v>0.53472222222222221</v>
      </c>
      <c r="E34" s="34" t="s">
        <v>175</v>
      </c>
      <c r="F34" s="5"/>
      <c r="G34" s="33"/>
      <c r="H34" s="33"/>
      <c r="I34" s="34" t="s">
        <v>176</v>
      </c>
      <c r="J34" s="5"/>
      <c r="K34" s="38"/>
      <c r="M34" s="43">
        <v>3.472222222222222E-3</v>
      </c>
    </row>
    <row r="35" spans="2:13" ht="40.15" customHeight="1">
      <c r="B35" s="29"/>
      <c r="C35" s="6">
        <v>3</v>
      </c>
      <c r="D35" s="37">
        <f t="shared" ref="D35:D36" si="0">D$33+M35</f>
        <v>0.54166666666666663</v>
      </c>
      <c r="E35" s="34" t="s">
        <v>150</v>
      </c>
      <c r="F35" s="5"/>
      <c r="G35" s="33"/>
      <c r="H35" s="33"/>
      <c r="I35" s="33"/>
      <c r="J35" s="33"/>
      <c r="K35" s="129" t="s">
        <v>26</v>
      </c>
      <c r="M35" s="43">
        <v>1.0416666666666666E-2</v>
      </c>
    </row>
    <row r="36" spans="2:13" ht="40.15" customHeight="1">
      <c r="B36" s="29"/>
      <c r="C36" s="6">
        <v>4</v>
      </c>
      <c r="D36" s="37">
        <f t="shared" si="0"/>
        <v>0.54861111111111116</v>
      </c>
      <c r="E36" s="34" t="s">
        <v>151</v>
      </c>
      <c r="F36" s="5"/>
      <c r="G36" s="33"/>
      <c r="H36" s="33"/>
      <c r="I36" s="33"/>
      <c r="J36" s="33"/>
      <c r="K36" s="130"/>
      <c r="M36" s="43">
        <v>1.7361111111111112E-2</v>
      </c>
    </row>
    <row r="37" spans="2:13" ht="19.899999999999999" customHeight="1">
      <c r="B37" s="29"/>
      <c r="C37" s="6">
        <v>5</v>
      </c>
      <c r="D37" s="37">
        <f t="shared" ref="D37:D42" si="1">D$33+M37</f>
        <v>0.55208333333333337</v>
      </c>
      <c r="E37" s="33"/>
      <c r="F37" s="33"/>
      <c r="G37" s="33"/>
      <c r="H37" s="33"/>
      <c r="I37" s="5" t="s">
        <v>163</v>
      </c>
      <c r="J37" s="5"/>
      <c r="K37" s="129" t="s">
        <v>27</v>
      </c>
      <c r="M37" s="43">
        <v>2.0833333333333332E-2</v>
      </c>
    </row>
    <row r="38" spans="2:13" ht="40.15" customHeight="1">
      <c r="B38" s="29"/>
      <c r="C38" s="6">
        <v>6</v>
      </c>
      <c r="D38" s="37">
        <f t="shared" si="1"/>
        <v>0.55555555555555558</v>
      </c>
      <c r="E38" s="34" t="s">
        <v>164</v>
      </c>
      <c r="F38" s="5"/>
      <c r="G38" s="33"/>
      <c r="H38" s="33"/>
      <c r="I38" s="33"/>
      <c r="J38" s="33"/>
      <c r="K38" s="131"/>
      <c r="M38" s="43">
        <v>2.4305555555555556E-2</v>
      </c>
    </row>
    <row r="39" spans="2:13" ht="19.899999999999999" customHeight="1">
      <c r="B39" s="29"/>
      <c r="C39" s="6">
        <v>7</v>
      </c>
      <c r="D39" s="37">
        <f t="shared" si="1"/>
        <v>0.55902777777777779</v>
      </c>
      <c r="E39" s="33"/>
      <c r="F39" s="33"/>
      <c r="G39" s="33"/>
      <c r="H39" s="33"/>
      <c r="I39" s="5" t="s">
        <v>165</v>
      </c>
      <c r="J39" s="5"/>
      <c r="K39" s="5"/>
      <c r="M39" s="43">
        <v>2.7777777777777776E-2</v>
      </c>
    </row>
    <row r="40" spans="2:13" ht="19.899999999999999" customHeight="1">
      <c r="B40" s="29"/>
      <c r="C40" s="6">
        <v>8</v>
      </c>
      <c r="D40" s="37">
        <f t="shared" si="1"/>
        <v>0.5625</v>
      </c>
      <c r="E40" s="33"/>
      <c r="F40" s="33"/>
      <c r="G40" s="34" t="s">
        <v>166</v>
      </c>
      <c r="H40" s="5"/>
      <c r="I40" s="33"/>
      <c r="J40" s="33"/>
      <c r="K40" s="129" t="s">
        <v>59</v>
      </c>
      <c r="M40" s="43">
        <v>3.125E-2</v>
      </c>
    </row>
    <row r="41" spans="2:13" ht="19.899999999999999" customHeight="1">
      <c r="B41" s="29"/>
      <c r="C41" s="6">
        <v>9</v>
      </c>
      <c r="D41" s="37">
        <f t="shared" si="1"/>
        <v>0.5625</v>
      </c>
      <c r="E41" s="34" t="s">
        <v>167</v>
      </c>
      <c r="F41" s="5"/>
      <c r="G41" s="33"/>
      <c r="H41" s="33"/>
      <c r="I41" s="33"/>
      <c r="J41" s="33"/>
      <c r="K41" s="130"/>
      <c r="M41" s="43">
        <v>3.125E-2</v>
      </c>
    </row>
    <row r="42" spans="2:13" ht="40.15" customHeight="1">
      <c r="B42" s="31"/>
      <c r="C42" s="6">
        <v>10</v>
      </c>
      <c r="D42" s="37">
        <f t="shared" si="1"/>
        <v>0.57638888888888884</v>
      </c>
      <c r="E42" s="34" t="s">
        <v>177</v>
      </c>
      <c r="F42" s="5"/>
      <c r="G42" s="33"/>
      <c r="H42" s="33"/>
      <c r="I42" s="33"/>
      <c r="J42" s="33"/>
      <c r="K42" s="131"/>
      <c r="M42" s="43">
        <v>4.5138888888888888E-2</v>
      </c>
    </row>
    <row r="43" spans="2:13" ht="40.15" customHeight="1">
      <c r="B43" s="29"/>
      <c r="C43" s="6">
        <v>11</v>
      </c>
      <c r="D43" s="37">
        <f t="shared" ref="D43:D44" si="2">D$33+M43</f>
        <v>0.58333333333333337</v>
      </c>
      <c r="E43" s="34" t="s">
        <v>150</v>
      </c>
      <c r="F43" s="5"/>
      <c r="G43" s="33"/>
      <c r="H43" s="33"/>
      <c r="I43" s="33"/>
      <c r="J43" s="33"/>
      <c r="K43" s="129" t="s">
        <v>60</v>
      </c>
      <c r="M43" s="43">
        <v>5.2083333333333336E-2</v>
      </c>
    </row>
    <row r="44" spans="2:13" ht="40.15" customHeight="1">
      <c r="B44" s="29"/>
      <c r="C44" s="6">
        <v>12</v>
      </c>
      <c r="D44" s="37">
        <f t="shared" si="2"/>
        <v>0.59027777777777779</v>
      </c>
      <c r="E44" s="34" t="s">
        <v>148</v>
      </c>
      <c r="F44" s="5"/>
      <c r="G44" s="33"/>
      <c r="H44" s="33"/>
      <c r="I44" s="33"/>
      <c r="J44" s="33"/>
      <c r="K44" s="130"/>
      <c r="M44" s="43">
        <v>5.9027777777777776E-2</v>
      </c>
    </row>
    <row r="45" spans="2:13" ht="19.899999999999999" customHeight="1">
      <c r="B45" s="29"/>
      <c r="C45" s="6">
        <v>13</v>
      </c>
      <c r="D45" s="37">
        <f>D$33+M45</f>
        <v>0.59375</v>
      </c>
      <c r="E45" s="33"/>
      <c r="F45" s="33"/>
      <c r="G45" s="33"/>
      <c r="H45" s="33"/>
      <c r="I45" s="5" t="s">
        <v>163</v>
      </c>
      <c r="J45" s="5"/>
      <c r="K45" s="129" t="s">
        <v>61</v>
      </c>
      <c r="M45" s="43">
        <v>6.25E-2</v>
      </c>
    </row>
    <row r="46" spans="2:13" ht="40.15" customHeight="1">
      <c r="B46" s="29"/>
      <c r="C46" s="6">
        <v>14</v>
      </c>
      <c r="D46" s="37">
        <f t="shared" ref="D46" si="3">D$33+M46</f>
        <v>0.59722222222222221</v>
      </c>
      <c r="E46" s="34" t="s">
        <v>164</v>
      </c>
      <c r="F46" s="5"/>
      <c r="G46" s="33"/>
      <c r="H46" s="33"/>
      <c r="I46" s="33"/>
      <c r="J46" s="33"/>
      <c r="K46" s="131"/>
      <c r="M46" s="43">
        <v>6.5972222222222224E-2</v>
      </c>
    </row>
    <row r="47" spans="2:13" ht="19.899999999999999" customHeight="1">
      <c r="B47" s="29"/>
      <c r="C47" s="6">
        <v>15</v>
      </c>
      <c r="D47" s="37">
        <f>D$33+M47</f>
        <v>0.60069444444444442</v>
      </c>
      <c r="E47" s="33"/>
      <c r="F47" s="33"/>
      <c r="G47" s="33"/>
      <c r="H47" s="33"/>
      <c r="I47" s="5" t="s">
        <v>165</v>
      </c>
      <c r="J47" s="5"/>
      <c r="K47" s="5"/>
      <c r="M47" s="43">
        <v>6.9444444444444448E-2</v>
      </c>
    </row>
    <row r="48" spans="2:13" ht="19.899999999999999" customHeight="1">
      <c r="B48" s="29"/>
      <c r="C48" s="6">
        <v>16</v>
      </c>
      <c r="D48" s="37">
        <f>D$33+M48</f>
        <v>0.60416666666666663</v>
      </c>
      <c r="E48" s="33"/>
      <c r="F48" s="33"/>
      <c r="G48" s="34" t="s">
        <v>166</v>
      </c>
      <c r="H48" s="5"/>
      <c r="I48" s="33"/>
      <c r="J48" s="33"/>
      <c r="K48" s="5"/>
      <c r="M48" s="43">
        <v>7.2916666666666671E-2</v>
      </c>
    </row>
    <row r="49" spans="2:13" ht="19.899999999999999" customHeight="1">
      <c r="B49" s="30"/>
      <c r="C49" s="6">
        <v>17</v>
      </c>
      <c r="D49" s="37">
        <f>D$33+M49</f>
        <v>0.60416666666666663</v>
      </c>
      <c r="E49" s="34" t="s">
        <v>167</v>
      </c>
      <c r="F49" s="5"/>
      <c r="G49" s="33"/>
      <c r="H49" s="33"/>
      <c r="I49" s="34" t="s">
        <v>178</v>
      </c>
      <c r="J49" s="5"/>
      <c r="K49" s="5"/>
      <c r="M49" s="43">
        <v>7.2916666666666671E-2</v>
      </c>
    </row>
    <row r="50" spans="2:13" ht="19.899999999999999" customHeight="1"/>
    <row r="51" spans="2:13" ht="19.899999999999999" customHeight="1">
      <c r="D51" s="4" t="s">
        <v>131</v>
      </c>
      <c r="E51" s="3" t="s">
        <v>132</v>
      </c>
    </row>
    <row r="52" spans="2:13" ht="19.899999999999999" customHeight="1">
      <c r="E52" s="3" t="s">
        <v>169</v>
      </c>
    </row>
    <row r="53" spans="2:13" ht="19.899999999999999" customHeight="1"/>
    <row r="54" spans="2:13" ht="19.899999999999999" customHeight="1">
      <c r="D54" s="4"/>
    </row>
    <row r="55" spans="2:13" ht="19.899999999999999" customHeight="1"/>
    <row r="56" spans="2:13" ht="19.899999999999999" customHeight="1"/>
    <row r="57" spans="2:13" ht="19.899999999999999" customHeight="1"/>
    <row r="58" spans="2:13" ht="19.899999999999999" customHeight="1">
      <c r="D58" s="4"/>
    </row>
    <row r="59" spans="2:13" ht="19.899999999999999" customHeight="1"/>
    <row r="60" spans="2:13" ht="19.899999999999999" customHeight="1"/>
    <row r="61" spans="2:13" ht="19.899999999999999" customHeight="1"/>
    <row r="62" spans="2:13" ht="19.899999999999999" customHeight="1"/>
    <row r="63" spans="2:13" ht="19.899999999999999" customHeight="1"/>
    <row r="64" spans="2:13"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sheetData>
  <mergeCells count="12">
    <mergeCell ref="K35:K36"/>
    <mergeCell ref="K37:K38"/>
    <mergeCell ref="K40:K42"/>
    <mergeCell ref="K43:K44"/>
    <mergeCell ref="K45:K46"/>
    <mergeCell ref="C31:C32"/>
    <mergeCell ref="D31:D32"/>
    <mergeCell ref="E31:J31"/>
    <mergeCell ref="K31:K32"/>
    <mergeCell ref="E32:F32"/>
    <mergeCell ref="G32:H32"/>
    <mergeCell ref="I32:J32"/>
  </mergeCells>
  <phoneticPr fontId="2"/>
  <pageMargins left="0.31496062992125984" right="0.31496062992125984" top="0.55118110236220474" bottom="0.35433070866141736" header="0.31496062992125984" footer="0.31496062992125984"/>
  <pageSetup paperSize="9" scale="71" fitToHeight="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B1971-FE0C-49A1-8C4D-6EBE96F16721}">
  <sheetPr>
    <tabColor rgb="FFFFFF00"/>
    <pageSetUpPr fitToPage="1"/>
  </sheetPr>
  <dimension ref="B1:M67"/>
  <sheetViews>
    <sheetView view="pageBreakPreview" zoomScale="80" zoomScaleNormal="85" zoomScaleSheetLayoutView="80" workbookViewId="0">
      <selection activeCell="N27" sqref="N27"/>
    </sheetView>
  </sheetViews>
  <sheetFormatPr defaultColWidth="8.7265625" defaultRowHeight="15"/>
  <cols>
    <col min="1" max="1" width="1.7265625" style="3" customWidth="1"/>
    <col min="2" max="2" width="6.7265625" style="3" customWidth="1"/>
    <col min="3" max="3" width="4.26953125" style="3" customWidth="1"/>
    <col min="4" max="4" width="8.7265625" style="3" customWidth="1"/>
    <col min="5" max="5" width="35.7265625" style="3" customWidth="1"/>
    <col min="6" max="6" width="4.453125" style="3" customWidth="1"/>
    <col min="7" max="7" width="25.7265625" style="3" customWidth="1"/>
    <col min="8" max="8" width="4.453125" style="3" customWidth="1"/>
    <col min="9" max="9" width="30.7265625" style="3" customWidth="1"/>
    <col min="10" max="10" width="4.453125" style="3" customWidth="1"/>
    <col min="11" max="11" width="7.453125" style="3" bestFit="1" customWidth="1"/>
    <col min="12" max="12" width="1.7265625" style="3" customWidth="1"/>
    <col min="13" max="13" width="8.7265625" style="42"/>
    <col min="14" max="14" width="11.7265625" style="3" bestFit="1" customWidth="1"/>
    <col min="15" max="16384" width="8.7265625" style="3"/>
  </cols>
  <sheetData>
    <row r="1" spans="2:11" ht="21" customHeight="1">
      <c r="B1" s="13" t="s">
        <v>179</v>
      </c>
      <c r="C1" s="4"/>
      <c r="D1" s="4"/>
      <c r="K1" s="4"/>
    </row>
    <row r="2" spans="2:11" ht="16">
      <c r="B2" s="40"/>
      <c r="C2" s="39"/>
      <c r="D2" s="4"/>
      <c r="K2" s="4"/>
    </row>
    <row r="3" spans="2:11">
      <c r="B3" s="19" t="s">
        <v>83</v>
      </c>
      <c r="C3" s="25" t="s">
        <v>180</v>
      </c>
      <c r="D3" s="23"/>
      <c r="E3" s="23"/>
      <c r="F3" s="23"/>
      <c r="G3" s="23"/>
      <c r="H3" s="23"/>
      <c r="I3" s="23"/>
      <c r="J3" s="23"/>
      <c r="K3" s="35"/>
    </row>
    <row r="4" spans="2:11">
      <c r="B4" s="20"/>
      <c r="C4" s="25" t="s">
        <v>181</v>
      </c>
      <c r="K4" s="17"/>
    </row>
    <row r="5" spans="2:11">
      <c r="B5" s="21"/>
      <c r="C5" s="49"/>
      <c r="D5" s="27"/>
      <c r="E5" s="27"/>
      <c r="F5" s="27"/>
      <c r="G5" s="27"/>
      <c r="H5" s="27"/>
      <c r="I5" s="27" t="s">
        <v>182</v>
      </c>
      <c r="J5" s="27"/>
      <c r="K5" s="36"/>
    </row>
    <row r="6" spans="2:11">
      <c r="B6" s="19" t="s">
        <v>87</v>
      </c>
      <c r="C6" s="22" t="s">
        <v>183</v>
      </c>
      <c r="D6" s="23"/>
      <c r="E6" s="23"/>
      <c r="F6" s="23"/>
      <c r="G6" s="23"/>
      <c r="H6" s="23"/>
      <c r="I6" s="23"/>
      <c r="J6" s="23"/>
      <c r="K6" s="35"/>
    </row>
    <row r="7" spans="2:11">
      <c r="B7" s="20"/>
      <c r="C7" s="25" t="s">
        <v>89</v>
      </c>
      <c r="K7" s="17"/>
    </row>
    <row r="8" spans="2:11">
      <c r="B8" s="21"/>
      <c r="C8" s="26"/>
      <c r="D8" s="27"/>
      <c r="E8" s="27"/>
      <c r="F8" s="27"/>
      <c r="G8" s="27"/>
      <c r="H8" s="27"/>
      <c r="I8" s="27"/>
      <c r="J8" s="27"/>
      <c r="K8" s="36"/>
    </row>
    <row r="9" spans="2:11">
      <c r="B9" s="19" t="s">
        <v>90</v>
      </c>
      <c r="C9" s="82" t="s">
        <v>184</v>
      </c>
      <c r="D9" s="80"/>
      <c r="J9" s="23"/>
      <c r="K9" s="24" t="s">
        <v>26</v>
      </c>
    </row>
    <row r="10" spans="2:11">
      <c r="B10" s="31"/>
      <c r="C10" s="82" t="s">
        <v>185</v>
      </c>
      <c r="D10" s="80"/>
      <c r="K10" s="18"/>
    </row>
    <row r="11" spans="2:11">
      <c r="B11" s="29"/>
      <c r="C11" s="3" t="s">
        <v>186</v>
      </c>
      <c r="K11" s="18" t="s">
        <v>27</v>
      </c>
    </row>
    <row r="12" spans="2:11">
      <c r="B12" s="29"/>
      <c r="K12" s="18"/>
    </row>
    <row r="13" spans="2:11">
      <c r="B13" s="29"/>
      <c r="K13" s="18"/>
    </row>
    <row r="14" spans="2:11">
      <c r="B14" s="29"/>
      <c r="G14" s="3">
        <f>1500*0.05</f>
        <v>75</v>
      </c>
      <c r="K14" s="18"/>
    </row>
    <row r="15" spans="2:11">
      <c r="B15" s="29"/>
      <c r="K15" s="18"/>
    </row>
    <row r="16" spans="2:11">
      <c r="B16" s="29"/>
      <c r="K16" s="18"/>
    </row>
    <row r="17" spans="2:11">
      <c r="B17" s="29"/>
      <c r="K17" s="18"/>
    </row>
    <row r="18" spans="2:11">
      <c r="B18" s="29"/>
      <c r="K18" s="18"/>
    </row>
    <row r="19" spans="2:11">
      <c r="B19" s="29"/>
      <c r="K19" s="18"/>
    </row>
    <row r="20" spans="2:11">
      <c r="B20" s="29"/>
      <c r="K20" s="18"/>
    </row>
    <row r="21" spans="2:11">
      <c r="B21" s="29"/>
      <c r="K21" s="18"/>
    </row>
    <row r="22" spans="2:11">
      <c r="B22" s="29"/>
      <c r="K22" s="18"/>
    </row>
    <row r="23" spans="2:11">
      <c r="B23" s="29"/>
      <c r="K23" s="18"/>
    </row>
    <row r="24" spans="2:11">
      <c r="B24" s="29"/>
      <c r="K24" s="18"/>
    </row>
    <row r="25" spans="2:11">
      <c r="B25" s="29"/>
      <c r="K25" s="18"/>
    </row>
    <row r="26" spans="2:11">
      <c r="B26" s="29"/>
      <c r="K26" s="18"/>
    </row>
    <row r="27" spans="2:11">
      <c r="B27" s="29"/>
      <c r="K27" s="18"/>
    </row>
    <row r="28" spans="2:11">
      <c r="B28" s="29"/>
      <c r="K28" s="18"/>
    </row>
    <row r="29" spans="2:11">
      <c r="B29" s="30"/>
      <c r="C29" s="32"/>
      <c r="D29" s="27"/>
      <c r="E29" s="27"/>
      <c r="F29" s="27"/>
      <c r="G29" s="27"/>
      <c r="H29" s="27"/>
      <c r="I29" s="27"/>
      <c r="J29" s="27"/>
      <c r="K29" s="28"/>
    </row>
    <row r="31" spans="2:11">
      <c r="B31" s="19" t="s">
        <v>101</v>
      </c>
      <c r="C31" s="111" t="s">
        <v>102</v>
      </c>
      <c r="D31" s="112" t="s">
        <v>103</v>
      </c>
      <c r="E31" s="114" t="s">
        <v>104</v>
      </c>
      <c r="F31" s="115"/>
      <c r="G31" s="115"/>
      <c r="H31" s="115"/>
      <c r="I31" s="115"/>
      <c r="J31" s="116"/>
      <c r="K31" s="112" t="s">
        <v>105</v>
      </c>
    </row>
    <row r="32" spans="2:11">
      <c r="B32" s="31"/>
      <c r="C32" s="111"/>
      <c r="D32" s="113"/>
      <c r="E32" s="111" t="s">
        <v>106</v>
      </c>
      <c r="F32" s="111"/>
      <c r="G32" s="111" t="s">
        <v>107</v>
      </c>
      <c r="H32" s="111"/>
      <c r="I32" s="111" t="s">
        <v>108</v>
      </c>
      <c r="J32" s="111"/>
      <c r="K32" s="113"/>
    </row>
    <row r="33" spans="2:13" ht="40.15" customHeight="1">
      <c r="B33" s="31"/>
      <c r="C33" s="6">
        <v>1</v>
      </c>
      <c r="D33" s="37">
        <v>0.53125</v>
      </c>
      <c r="E33" s="5" t="s">
        <v>187</v>
      </c>
      <c r="F33" s="5"/>
      <c r="G33" s="33"/>
      <c r="H33" s="33"/>
      <c r="I33" s="5" t="s">
        <v>188</v>
      </c>
      <c r="J33" s="5"/>
      <c r="K33" s="5"/>
    </row>
    <row r="34" spans="2:13" ht="40.15" customHeight="1">
      <c r="B34" s="31"/>
      <c r="C34" s="6">
        <v>2</v>
      </c>
      <c r="D34" s="37">
        <f>D$33+M34</f>
        <v>0.53472222222222221</v>
      </c>
      <c r="E34" s="33"/>
      <c r="F34" s="33"/>
      <c r="G34" s="33"/>
      <c r="H34" s="33"/>
      <c r="I34" s="81" t="s">
        <v>189</v>
      </c>
      <c r="J34" s="5"/>
      <c r="K34" s="46" t="s">
        <v>26</v>
      </c>
      <c r="M34" s="43">
        <v>3.472222222222222E-3</v>
      </c>
    </row>
    <row r="35" spans="2:13" ht="40.15" customHeight="1">
      <c r="B35" s="31"/>
      <c r="C35" s="6">
        <v>2</v>
      </c>
      <c r="D35" s="37">
        <f>D$33+M35</f>
        <v>0.53472222222222221</v>
      </c>
      <c r="E35" s="33"/>
      <c r="F35" s="33"/>
      <c r="G35" s="33"/>
      <c r="H35" s="33"/>
      <c r="I35" s="81" t="s">
        <v>190</v>
      </c>
      <c r="J35" s="5"/>
      <c r="K35" s="46" t="s">
        <v>26</v>
      </c>
      <c r="M35" s="43">
        <v>3.472222222222222E-3</v>
      </c>
    </row>
    <row r="36" spans="2:13" ht="40.15" customHeight="1">
      <c r="B36" s="29"/>
      <c r="C36" s="6">
        <v>3</v>
      </c>
      <c r="D36" s="37">
        <f t="shared" ref="D36:D39" si="0">D$33+M36</f>
        <v>0.53819444444444442</v>
      </c>
      <c r="E36" s="34" t="s">
        <v>164</v>
      </c>
      <c r="F36" s="5"/>
      <c r="G36" s="33"/>
      <c r="H36" s="33"/>
      <c r="I36" s="33"/>
      <c r="J36" s="33"/>
      <c r="K36" s="6" t="s">
        <v>27</v>
      </c>
      <c r="M36" s="43">
        <v>6.9444444444444441E-3</v>
      </c>
    </row>
    <row r="37" spans="2:13" ht="40.15" customHeight="1">
      <c r="B37" s="29"/>
      <c r="C37" s="6">
        <v>4</v>
      </c>
      <c r="D37" s="37">
        <f t="shared" si="0"/>
        <v>0.54166666666666663</v>
      </c>
      <c r="E37" s="33"/>
      <c r="F37" s="33"/>
      <c r="G37" s="33"/>
      <c r="H37" s="33"/>
      <c r="I37" s="81" t="s">
        <v>191</v>
      </c>
      <c r="J37" s="5"/>
      <c r="K37" s="46" t="s">
        <v>28</v>
      </c>
      <c r="M37" s="43">
        <v>1.0416666666666666E-2</v>
      </c>
    </row>
    <row r="38" spans="2:13" ht="40.15" customHeight="1">
      <c r="B38" s="29"/>
      <c r="C38" s="6">
        <v>4</v>
      </c>
      <c r="D38" s="37">
        <f t="shared" ref="D38" si="1">D$33+M38</f>
        <v>0.54513888888888884</v>
      </c>
      <c r="E38" s="33"/>
      <c r="F38" s="33"/>
      <c r="G38" s="33"/>
      <c r="H38" s="33"/>
      <c r="I38" s="81" t="s">
        <v>192</v>
      </c>
      <c r="J38" s="5"/>
      <c r="K38" s="46" t="s">
        <v>28</v>
      </c>
      <c r="M38" s="43">
        <v>1.3888888888888888E-2</v>
      </c>
    </row>
    <row r="39" spans="2:13" ht="19.899999999999999" customHeight="1">
      <c r="B39" s="29"/>
      <c r="C39" s="6">
        <v>5</v>
      </c>
      <c r="D39" s="37">
        <f t="shared" si="0"/>
        <v>0.54861111111111116</v>
      </c>
      <c r="E39" s="5" t="s">
        <v>193</v>
      </c>
      <c r="F39" s="5"/>
      <c r="G39" s="33"/>
      <c r="H39" s="33"/>
      <c r="I39" s="33"/>
      <c r="J39" s="33"/>
      <c r="K39" s="6" t="s">
        <v>29</v>
      </c>
      <c r="M39" s="43">
        <v>1.7361111111111112E-2</v>
      </c>
    </row>
    <row r="40" spans="2:13" ht="40.15" customHeight="1">
      <c r="B40" s="29"/>
      <c r="C40" s="6">
        <v>6</v>
      </c>
      <c r="D40" s="37"/>
      <c r="E40" s="34"/>
      <c r="F40" s="5"/>
      <c r="G40" s="5"/>
      <c r="H40" s="5"/>
      <c r="I40" s="5"/>
      <c r="J40" s="5"/>
      <c r="K40" s="5"/>
      <c r="M40" s="43"/>
    </row>
    <row r="41" spans="2:13" ht="19.899999999999999" customHeight="1">
      <c r="B41" s="29"/>
      <c r="C41" s="6">
        <v>7</v>
      </c>
      <c r="D41" s="37"/>
      <c r="E41" s="5"/>
      <c r="F41" s="5"/>
      <c r="G41" s="5"/>
      <c r="H41" s="5"/>
      <c r="I41" s="5"/>
      <c r="J41" s="5"/>
      <c r="K41" s="5"/>
      <c r="M41" s="43"/>
    </row>
    <row r="42" spans="2:13" ht="19.899999999999999" customHeight="1">
      <c r="B42" s="29"/>
      <c r="C42" s="6">
        <v>8</v>
      </c>
      <c r="D42" s="37"/>
      <c r="E42" s="5"/>
      <c r="F42" s="5"/>
      <c r="G42" s="34"/>
      <c r="H42" s="5"/>
      <c r="I42" s="5"/>
      <c r="J42" s="5"/>
      <c r="K42" s="5"/>
      <c r="M42" s="43"/>
    </row>
    <row r="43" spans="2:13" ht="19.899999999999999" customHeight="1">
      <c r="B43" s="29"/>
      <c r="C43" s="6">
        <v>9</v>
      </c>
      <c r="D43" s="37"/>
      <c r="E43" s="34"/>
      <c r="F43" s="5"/>
      <c r="G43" s="5"/>
      <c r="H43" s="5"/>
      <c r="I43" s="5"/>
      <c r="J43" s="5"/>
      <c r="K43" s="5"/>
      <c r="M43" s="43"/>
    </row>
    <row r="44" spans="2:13" ht="40.15" customHeight="1">
      <c r="B44" s="21"/>
      <c r="C44" s="6">
        <v>10</v>
      </c>
      <c r="D44" s="37"/>
      <c r="E44" s="34"/>
      <c r="F44" s="5"/>
      <c r="G44" s="5"/>
      <c r="H44" s="5"/>
      <c r="I44" s="5"/>
      <c r="J44" s="5"/>
      <c r="K44" s="5"/>
      <c r="M44" s="43"/>
    </row>
    <row r="45" spans="2:13" ht="19.899999999999999" customHeight="1"/>
    <row r="46" spans="2:13" ht="19.899999999999999" customHeight="1">
      <c r="D46" s="4"/>
    </row>
    <row r="47" spans="2:13" ht="19.899999999999999" customHeight="1"/>
    <row r="48" spans="2:13" ht="19.899999999999999" customHeight="1"/>
    <row r="49" spans="4:4" ht="19.899999999999999" customHeight="1">
      <c r="D49" s="4"/>
    </row>
    <row r="50" spans="4:4" ht="19.899999999999999" customHeight="1"/>
    <row r="51" spans="4:4" ht="19.899999999999999" customHeight="1"/>
    <row r="52" spans="4:4" ht="19.899999999999999" customHeight="1"/>
    <row r="53" spans="4:4" ht="19.899999999999999" customHeight="1">
      <c r="D53" s="4"/>
    </row>
    <row r="54" spans="4:4" ht="19.899999999999999" customHeight="1"/>
    <row r="55" spans="4:4" ht="19.899999999999999" customHeight="1"/>
    <row r="56" spans="4:4" ht="19.899999999999999" customHeight="1"/>
    <row r="57" spans="4:4" ht="19.899999999999999" customHeight="1"/>
    <row r="58" spans="4:4" ht="19.899999999999999" customHeight="1"/>
    <row r="59" spans="4:4" ht="19.899999999999999" customHeight="1"/>
    <row r="60" spans="4:4" ht="19.899999999999999" customHeight="1"/>
    <row r="61" spans="4:4" ht="19.899999999999999" customHeight="1"/>
    <row r="62" spans="4:4" ht="19.899999999999999" customHeight="1"/>
    <row r="63" spans="4:4" ht="19.899999999999999" customHeight="1"/>
    <row r="64" spans="4:4" ht="19.899999999999999" customHeight="1"/>
    <row r="65" ht="19.899999999999999" customHeight="1"/>
    <row r="66" ht="19.899999999999999" customHeight="1"/>
    <row r="67" ht="19.899999999999999" customHeight="1"/>
  </sheetData>
  <mergeCells count="7">
    <mergeCell ref="C31:C32"/>
    <mergeCell ref="D31:D32"/>
    <mergeCell ref="E31:J31"/>
    <mergeCell ref="K31:K32"/>
    <mergeCell ref="E32:F32"/>
    <mergeCell ref="G32:H32"/>
    <mergeCell ref="I32:J32"/>
  </mergeCells>
  <phoneticPr fontId="2"/>
  <pageMargins left="0.31496062992125984" right="0.31496062992125984" top="0.55118110236220474" bottom="0.35433070866141736" header="0.31496062992125984" footer="0.31496062992125984"/>
  <pageSetup paperSize="9" scale="71" fitToHeight="0"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696B-7D7A-4382-9044-567804C29980}">
  <sheetPr>
    <tabColor rgb="FFFFC000"/>
    <pageSetUpPr fitToPage="1"/>
  </sheetPr>
  <dimension ref="B1:M64"/>
  <sheetViews>
    <sheetView view="pageBreakPreview" topLeftCell="A36" zoomScale="110" zoomScaleNormal="85" zoomScaleSheetLayoutView="110" workbookViewId="0">
      <selection activeCell="T26" sqref="T26"/>
    </sheetView>
  </sheetViews>
  <sheetFormatPr defaultColWidth="8.7265625" defaultRowHeight="15"/>
  <cols>
    <col min="1" max="1" width="1.7265625" style="3" customWidth="1"/>
    <col min="2" max="2" width="6.7265625" style="3" customWidth="1"/>
    <col min="3" max="3" width="4.26953125" style="3" customWidth="1"/>
    <col min="4" max="4" width="8.7265625" style="3" customWidth="1"/>
    <col min="5" max="5" width="35.7265625" style="3" customWidth="1"/>
    <col min="6" max="6" width="4.453125" style="3" customWidth="1"/>
    <col min="7" max="7" width="25.7265625" style="3" customWidth="1"/>
    <col min="8" max="8" width="4.453125" style="3" customWidth="1"/>
    <col min="9" max="9" width="30.7265625" style="3" customWidth="1"/>
    <col min="10" max="10" width="4.453125" style="3" customWidth="1"/>
    <col min="11" max="11" width="7.453125" style="3" bestFit="1" customWidth="1"/>
    <col min="12" max="12" width="1.7265625" style="3" customWidth="1"/>
    <col min="13" max="13" width="8.7265625" style="42"/>
    <col min="14" max="14" width="11.7265625" style="3" bestFit="1" customWidth="1"/>
    <col min="15" max="16384" width="8.7265625" style="3"/>
  </cols>
  <sheetData>
    <row r="1" spans="2:13" ht="21" customHeight="1">
      <c r="B1" s="13" t="s">
        <v>74</v>
      </c>
      <c r="C1" s="4"/>
      <c r="D1" s="4"/>
      <c r="K1" s="4"/>
    </row>
    <row r="2" spans="2:13" ht="16">
      <c r="B2" s="40"/>
      <c r="C2" s="39"/>
      <c r="D2" s="4"/>
      <c r="K2" s="4"/>
    </row>
    <row r="3" spans="2:13">
      <c r="B3" s="19" t="s">
        <v>83</v>
      </c>
      <c r="C3" s="25" t="s">
        <v>194</v>
      </c>
      <c r="D3" s="23"/>
      <c r="E3" s="23"/>
      <c r="F3" s="23"/>
      <c r="G3" s="23"/>
      <c r="H3" s="23"/>
      <c r="I3" s="23"/>
      <c r="J3" s="23"/>
      <c r="K3" s="35"/>
    </row>
    <row r="4" spans="2:13">
      <c r="B4" s="20"/>
      <c r="C4" s="25" t="s">
        <v>195</v>
      </c>
      <c r="K4" s="17"/>
      <c r="M4" s="42" t="s">
        <v>196</v>
      </c>
    </row>
    <row r="5" spans="2:13">
      <c r="B5" s="20"/>
      <c r="C5" s="25"/>
      <c r="K5" s="17"/>
    </row>
    <row r="6" spans="2:13">
      <c r="B6" s="21"/>
      <c r="C6" s="26"/>
      <c r="D6" s="27"/>
      <c r="E6" s="27"/>
      <c r="F6" s="27"/>
      <c r="G6" s="27"/>
      <c r="H6" s="27"/>
      <c r="I6" s="27" t="s">
        <v>86</v>
      </c>
      <c r="J6" s="27"/>
      <c r="K6" s="36"/>
    </row>
    <row r="7" spans="2:13">
      <c r="B7" s="19" t="s">
        <v>87</v>
      </c>
      <c r="C7" s="22" t="s">
        <v>197</v>
      </c>
      <c r="D7" s="23"/>
      <c r="E7" s="23"/>
      <c r="F7" s="23"/>
      <c r="G7" s="23"/>
      <c r="H7" s="23"/>
      <c r="I7" s="23"/>
      <c r="J7" s="23"/>
      <c r="K7" s="35"/>
    </row>
    <row r="8" spans="2:13">
      <c r="B8" s="20"/>
      <c r="C8" s="25" t="s">
        <v>89</v>
      </c>
      <c r="K8" s="17"/>
    </row>
    <row r="9" spans="2:13">
      <c r="B9" s="21"/>
      <c r="C9" s="26"/>
      <c r="D9" s="27"/>
      <c r="E9" s="27"/>
      <c r="F9" s="27"/>
      <c r="G9" s="27"/>
      <c r="H9" s="27"/>
      <c r="I9" s="27"/>
      <c r="J9" s="27"/>
      <c r="K9" s="36"/>
    </row>
    <row r="10" spans="2:13">
      <c r="B10" s="19" t="s">
        <v>90</v>
      </c>
      <c r="C10" s="3" t="s">
        <v>198</v>
      </c>
      <c r="D10" s="23"/>
      <c r="E10" s="23"/>
      <c r="F10" s="23"/>
      <c r="G10" s="23"/>
      <c r="H10" s="23"/>
      <c r="I10" s="23"/>
      <c r="J10" s="23"/>
      <c r="K10" s="24" t="s">
        <v>26</v>
      </c>
    </row>
    <row r="11" spans="2:13">
      <c r="B11" s="29"/>
      <c r="C11" s="3" t="s">
        <v>199</v>
      </c>
      <c r="K11" s="18"/>
    </row>
    <row r="12" spans="2:13">
      <c r="B12" s="29"/>
      <c r="C12" s="3" t="s">
        <v>200</v>
      </c>
      <c r="K12" s="18"/>
    </row>
    <row r="13" spans="2:13">
      <c r="B13" s="29"/>
      <c r="K13" s="18" t="s">
        <v>27</v>
      </c>
    </row>
    <row r="14" spans="2:13">
      <c r="B14" s="29"/>
      <c r="C14" s="3" t="s">
        <v>201</v>
      </c>
      <c r="K14" s="18" t="s">
        <v>59</v>
      </c>
    </row>
    <row r="15" spans="2:13">
      <c r="B15" s="29"/>
      <c r="C15" s="3" t="s">
        <v>202</v>
      </c>
      <c r="K15" s="18" t="s">
        <v>60</v>
      </c>
    </row>
    <row r="16" spans="2:13">
      <c r="B16" s="29"/>
      <c r="C16" s="3" t="s">
        <v>203</v>
      </c>
      <c r="K16" s="18" t="s">
        <v>61</v>
      </c>
    </row>
    <row r="17" spans="2:11">
      <c r="B17" s="29"/>
      <c r="C17" s="3" t="s">
        <v>204</v>
      </c>
      <c r="K17" s="18"/>
    </row>
    <row r="18" spans="2:11">
      <c r="B18" s="29"/>
      <c r="K18" s="18"/>
    </row>
    <row r="19" spans="2:11">
      <c r="B19" s="29"/>
      <c r="K19" s="18"/>
    </row>
    <row r="20" spans="2:11">
      <c r="B20" s="29"/>
      <c r="K20" s="18"/>
    </row>
    <row r="21" spans="2:11">
      <c r="B21" s="29"/>
      <c r="K21" s="18"/>
    </row>
    <row r="22" spans="2:11">
      <c r="B22" s="29"/>
      <c r="K22" s="18"/>
    </row>
    <row r="23" spans="2:11">
      <c r="B23" s="29"/>
      <c r="K23" s="18"/>
    </row>
    <row r="24" spans="2:11">
      <c r="B24" s="29"/>
      <c r="K24" s="18"/>
    </row>
    <row r="25" spans="2:11">
      <c r="B25" s="29"/>
      <c r="K25" s="18"/>
    </row>
    <row r="26" spans="2:11">
      <c r="B26" s="29"/>
      <c r="K26" s="18"/>
    </row>
    <row r="27" spans="2:11">
      <c r="B27" s="29"/>
      <c r="K27" s="18"/>
    </row>
    <row r="28" spans="2:11">
      <c r="B28" s="30"/>
      <c r="C28" s="32"/>
      <c r="D28" s="27"/>
      <c r="E28" s="27"/>
      <c r="F28" s="27"/>
      <c r="G28" s="27"/>
      <c r="H28" s="27"/>
      <c r="I28" s="27"/>
      <c r="J28" s="27"/>
      <c r="K28" s="28"/>
    </row>
    <row r="30" spans="2:11">
      <c r="B30" s="19" t="s">
        <v>101</v>
      </c>
      <c r="C30" s="111" t="s">
        <v>102</v>
      </c>
      <c r="D30" s="112" t="s">
        <v>103</v>
      </c>
      <c r="E30" s="114" t="s">
        <v>104</v>
      </c>
      <c r="F30" s="115"/>
      <c r="G30" s="115"/>
      <c r="H30" s="115"/>
      <c r="I30" s="115"/>
      <c r="J30" s="116"/>
      <c r="K30" s="112" t="s">
        <v>105</v>
      </c>
    </row>
    <row r="31" spans="2:11">
      <c r="B31" s="31"/>
      <c r="C31" s="111"/>
      <c r="D31" s="113"/>
      <c r="E31" s="111" t="s">
        <v>106</v>
      </c>
      <c r="F31" s="111"/>
      <c r="G31" s="111" t="s">
        <v>107</v>
      </c>
      <c r="H31" s="111"/>
      <c r="I31" s="111" t="s">
        <v>108</v>
      </c>
      <c r="J31" s="111"/>
      <c r="K31" s="113"/>
    </row>
    <row r="32" spans="2:11" ht="19.899999999999999" customHeight="1">
      <c r="B32" s="31"/>
      <c r="C32" s="6">
        <v>1</v>
      </c>
      <c r="D32" s="37">
        <v>0.53472222222222221</v>
      </c>
      <c r="E32" s="5" t="s">
        <v>205</v>
      </c>
      <c r="F32" s="5"/>
      <c r="G32" s="33"/>
      <c r="H32" s="33"/>
      <c r="I32" s="5" t="s">
        <v>206</v>
      </c>
      <c r="J32" s="5"/>
      <c r="K32" s="5"/>
    </row>
    <row r="33" spans="2:13" ht="40.15" customHeight="1">
      <c r="B33" s="31"/>
      <c r="C33" s="6">
        <v>2</v>
      </c>
      <c r="D33" s="37">
        <f>D$32+M33</f>
        <v>0.53819444444444442</v>
      </c>
      <c r="E33" s="33"/>
      <c r="F33" s="33"/>
      <c r="G33" s="83" t="s">
        <v>207</v>
      </c>
      <c r="H33" s="5"/>
      <c r="I33" s="34" t="s">
        <v>208</v>
      </c>
      <c r="J33" s="5"/>
      <c r="K33" s="107" t="s">
        <v>26</v>
      </c>
      <c r="M33" s="43">
        <v>3.472222222222222E-3</v>
      </c>
    </row>
    <row r="34" spans="2:13" ht="40.15" customHeight="1">
      <c r="B34" s="29"/>
      <c r="C34" s="6">
        <v>3</v>
      </c>
      <c r="D34" s="37">
        <f t="shared" ref="D34:D35" si="0">D$32+M34</f>
        <v>0.53819444444444442</v>
      </c>
      <c r="E34" s="34" t="s">
        <v>209</v>
      </c>
      <c r="F34" s="5"/>
      <c r="G34" s="33"/>
      <c r="H34" s="33"/>
      <c r="I34" s="33"/>
      <c r="J34" s="33"/>
      <c r="K34" s="107"/>
      <c r="M34" s="43">
        <v>3.472222222222222E-3</v>
      </c>
    </row>
    <row r="35" spans="2:13" ht="40.15" customHeight="1">
      <c r="B35" s="29"/>
      <c r="C35" s="6">
        <v>4</v>
      </c>
      <c r="D35" s="37">
        <f t="shared" si="0"/>
        <v>0.54166666666666663</v>
      </c>
      <c r="E35" s="33"/>
      <c r="F35" s="33"/>
      <c r="G35" s="83" t="s">
        <v>210</v>
      </c>
      <c r="H35" s="5"/>
      <c r="I35" s="34" t="s">
        <v>211</v>
      </c>
      <c r="J35" s="5"/>
      <c r="K35" s="107" t="s">
        <v>27</v>
      </c>
      <c r="M35" s="43">
        <v>6.9444444444444441E-3</v>
      </c>
    </row>
    <row r="36" spans="2:13" ht="19.899999999999999" customHeight="1">
      <c r="B36" s="29"/>
      <c r="C36" s="6">
        <v>5</v>
      </c>
      <c r="D36" s="37">
        <f>D$32+M36</f>
        <v>0.54513888888888884</v>
      </c>
      <c r="E36" s="5" t="s">
        <v>167</v>
      </c>
      <c r="F36" s="5"/>
      <c r="G36" s="33"/>
      <c r="H36" s="33"/>
      <c r="I36" s="33"/>
      <c r="J36" s="33"/>
      <c r="K36" s="107"/>
      <c r="M36" s="43">
        <v>1.0416666666666666E-2</v>
      </c>
    </row>
    <row r="37" spans="2:13" ht="40.15" customHeight="1">
      <c r="B37" s="29"/>
      <c r="C37" s="6">
        <v>6</v>
      </c>
      <c r="D37" s="37">
        <f t="shared" ref="D37:D38" si="1">D$32+M37</f>
        <v>0.55208333333333337</v>
      </c>
      <c r="E37" s="33"/>
      <c r="F37" s="33"/>
      <c r="G37" s="5" t="s">
        <v>212</v>
      </c>
      <c r="H37" s="5"/>
      <c r="I37" s="33"/>
      <c r="J37" s="33"/>
      <c r="K37" s="6" t="s">
        <v>59</v>
      </c>
      <c r="M37" s="43">
        <v>1.7361111111111112E-2</v>
      </c>
    </row>
    <row r="38" spans="2:13" ht="40.15" customHeight="1">
      <c r="B38" s="29"/>
      <c r="C38" s="6">
        <v>7</v>
      </c>
      <c r="D38" s="37">
        <f t="shared" si="1"/>
        <v>0.55555555555555558</v>
      </c>
      <c r="E38" s="33"/>
      <c r="F38" s="33"/>
      <c r="G38" s="83" t="s">
        <v>213</v>
      </c>
      <c r="H38" s="5"/>
      <c r="I38" s="34" t="s">
        <v>214</v>
      </c>
      <c r="J38" s="5"/>
      <c r="K38" s="46" t="s">
        <v>60</v>
      </c>
      <c r="M38" s="43">
        <v>2.0833333333333332E-2</v>
      </c>
    </row>
    <row r="39" spans="2:13" ht="40.15" customHeight="1">
      <c r="B39" s="29"/>
      <c r="C39" s="6">
        <v>8</v>
      </c>
      <c r="D39" s="37">
        <f>D$32+M39</f>
        <v>0.55902777777777779</v>
      </c>
      <c r="E39" s="33"/>
      <c r="F39" s="33"/>
      <c r="G39" s="5" t="s">
        <v>215</v>
      </c>
      <c r="H39" s="5"/>
      <c r="I39" s="33"/>
      <c r="J39" s="33"/>
      <c r="K39" s="129" t="s">
        <v>61</v>
      </c>
      <c r="M39" s="43">
        <v>2.4305555555555556E-2</v>
      </c>
    </row>
    <row r="40" spans="2:13" ht="40.15" customHeight="1">
      <c r="B40" s="29"/>
      <c r="C40" s="6">
        <v>9</v>
      </c>
      <c r="D40" s="37">
        <f>D$32+M40</f>
        <v>0.55902777777777779</v>
      </c>
      <c r="E40" s="34" t="s">
        <v>209</v>
      </c>
      <c r="F40" s="5"/>
      <c r="G40" s="33"/>
      <c r="H40" s="33"/>
      <c r="I40" s="33"/>
      <c r="J40" s="33"/>
      <c r="K40" s="131"/>
      <c r="M40" s="43">
        <v>2.4305555555555556E-2</v>
      </c>
    </row>
    <row r="41" spans="2:13" ht="40.15" customHeight="1">
      <c r="B41" s="30"/>
      <c r="C41" s="6">
        <v>10</v>
      </c>
      <c r="D41" s="37">
        <f t="shared" ref="D41" si="2">D$32+M41</f>
        <v>0.5625</v>
      </c>
      <c r="E41" s="33"/>
      <c r="F41" s="33"/>
      <c r="G41" s="83" t="s">
        <v>210</v>
      </c>
      <c r="H41" s="5"/>
      <c r="I41" s="34" t="s">
        <v>216</v>
      </c>
      <c r="J41" s="5"/>
      <c r="K41" s="47"/>
      <c r="M41" s="43">
        <v>2.7777777777777776E-2</v>
      </c>
    </row>
    <row r="42" spans="2:13" ht="30" customHeight="1">
      <c r="G42" s="5" t="s">
        <v>217</v>
      </c>
    </row>
    <row r="43" spans="2:13" ht="19.899999999999999" customHeight="1">
      <c r="D43" s="4" t="s">
        <v>131</v>
      </c>
      <c r="E43" s="3" t="s">
        <v>132</v>
      </c>
    </row>
    <row r="44" spans="2:13" ht="19.899999999999999" customHeight="1">
      <c r="E44" s="3" t="s">
        <v>169</v>
      </c>
    </row>
    <row r="45" spans="2:13" ht="19.899999999999999" customHeight="1"/>
    <row r="46" spans="2:13" ht="19.899999999999999" customHeight="1">
      <c r="D46" s="4"/>
    </row>
    <row r="47" spans="2:13" ht="19.899999999999999" customHeight="1"/>
    <row r="48" spans="2:13" ht="19.899999999999999" customHeight="1"/>
    <row r="49" spans="4:4" ht="19.899999999999999" customHeight="1"/>
    <row r="50" spans="4:4" ht="19.899999999999999" customHeight="1">
      <c r="D50" s="4"/>
    </row>
    <row r="51" spans="4:4" ht="19.899999999999999" customHeight="1"/>
    <row r="52" spans="4:4" ht="19.899999999999999" customHeight="1"/>
    <row r="53" spans="4:4" ht="19.899999999999999" customHeight="1"/>
    <row r="54" spans="4:4" ht="19.899999999999999" customHeight="1"/>
    <row r="55" spans="4:4" ht="19.899999999999999" customHeight="1"/>
    <row r="56" spans="4:4" ht="19.899999999999999" customHeight="1"/>
    <row r="57" spans="4:4" ht="19.899999999999999" customHeight="1"/>
    <row r="58" spans="4:4" ht="19.899999999999999" customHeight="1"/>
    <row r="59" spans="4:4" ht="19.899999999999999" customHeight="1"/>
    <row r="60" spans="4:4" ht="19.899999999999999" customHeight="1"/>
    <row r="61" spans="4:4" ht="19.899999999999999" customHeight="1"/>
    <row r="62" spans="4:4" ht="19.899999999999999" customHeight="1"/>
    <row r="63" spans="4:4" ht="19.899999999999999" customHeight="1"/>
    <row r="64" spans="4:4" ht="19.899999999999999" customHeight="1"/>
  </sheetData>
  <mergeCells count="10">
    <mergeCell ref="K33:K34"/>
    <mergeCell ref="K35:K36"/>
    <mergeCell ref="K39:K40"/>
    <mergeCell ref="C30:C31"/>
    <mergeCell ref="D30:D31"/>
    <mergeCell ref="E30:J30"/>
    <mergeCell ref="K30:K31"/>
    <mergeCell ref="E31:F31"/>
    <mergeCell ref="G31:H31"/>
    <mergeCell ref="I31:J31"/>
  </mergeCells>
  <phoneticPr fontId="2"/>
  <pageMargins left="0.31496062992125984" right="0.31496062992125984" top="0.74803149606299213" bottom="0.74803149606299213" header="0.31496062992125984" footer="0.31496062992125984"/>
  <pageSetup paperSize="9" scale="71" fitToHeight="0"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970EF9201D0A4398DDFEDB54240A32" ma:contentTypeVersion="19" ma:contentTypeDescription="Create a new document." ma:contentTypeScope="" ma:versionID="cc89c6ddd986ca5caf1432258a8f477c">
  <xsd:schema xmlns:xsd="http://www.w3.org/2001/XMLSchema" xmlns:xs="http://www.w3.org/2001/XMLSchema" xmlns:p="http://schemas.microsoft.com/office/2006/metadata/properties" xmlns:ns2="f0cf6c74-911d-47d3-a539-ba5de9d9ffcc" xmlns:ns3="760b83a3-2332-4289-8afd-4f33f8e7c1b0" targetNamespace="http://schemas.microsoft.com/office/2006/metadata/properties" ma:root="true" ma:fieldsID="17682cc71b748c362b47766afa622c6c" ns2:_="" ns3:_="">
    <xsd:import namespace="f0cf6c74-911d-47d3-a539-ba5de9d9ffcc"/>
    <xsd:import namespace="760b83a3-2332-4289-8afd-4f33f8e7c1b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cf6c74-911d-47d3-a539-ba5de9d9f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f0b306-5c8f-44a5-9de7-bb42e716fd3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0b83a3-2332-4289-8afd-4f33f8e7c1b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242c75f-6b70-44f8-94c2-9df35940b276}" ma:internalName="TaxCatchAll" ma:showField="CatchAllData" ma:web="760b83a3-2332-4289-8afd-4f33f8e7c1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0cf6c74-911d-47d3-a539-ba5de9d9ffcc">
      <Terms xmlns="http://schemas.microsoft.com/office/infopath/2007/PartnerControls"/>
    </lcf76f155ced4ddcb4097134ff3c332f>
    <TaxCatchAll xmlns="760b83a3-2332-4289-8afd-4f33f8e7c1b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A4F1D7-1017-482F-9516-9A4EDDCD1C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cf6c74-911d-47d3-a539-ba5de9d9ffcc"/>
    <ds:schemaRef ds:uri="760b83a3-2332-4289-8afd-4f33f8e7c1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D39972-D038-4888-9737-D6B4E2E8E1AA}">
  <ds:schemaRefs>
    <ds:schemaRef ds:uri="http://purl.org/dc/terms/"/>
    <ds:schemaRef ds:uri="http://schemas.microsoft.com/office/2006/documentManagement/types"/>
    <ds:schemaRef ds:uri="http://purl.org/dc/elements/1.1/"/>
    <ds:schemaRef ds:uri="http://purl.org/dc/dcmitype/"/>
    <ds:schemaRef ds:uri="f0cf6c74-911d-47d3-a539-ba5de9d9ffcc"/>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760b83a3-2332-4289-8afd-4f33f8e7c1b0"/>
  </ds:schemaRefs>
</ds:datastoreItem>
</file>

<file path=customXml/itemProps3.xml><?xml version="1.0" encoding="utf-8"?>
<ds:datastoreItem xmlns:ds="http://schemas.openxmlformats.org/officeDocument/2006/customXml" ds:itemID="{EFEE1E3D-66EC-4062-AB03-B65C054869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前提</vt:lpstr>
      <vt:lpstr>Test List</vt:lpstr>
      <vt:lpstr>summary</vt:lpstr>
      <vt:lpstr>→not translation</vt:lpstr>
      <vt:lpstr>③通信</vt:lpstr>
      <vt:lpstr>④制御</vt:lpstr>
      <vt:lpstr>①再エネ</vt:lpstr>
      <vt:lpstr>①再エネ蓄電</vt:lpstr>
      <vt:lpstr>②系統充電</vt:lpstr>
      <vt:lpstr>⑤RPR</vt:lpstr>
      <vt:lpstr>①再エネ!Print_Area</vt:lpstr>
      <vt:lpstr>①再エネ蓄電!Print_Area</vt:lpstr>
      <vt:lpstr>②系統充電!Print_Area</vt:lpstr>
      <vt:lpstr>③通信!Print_Area</vt:lpstr>
      <vt:lpstr>④制御!Print_Area</vt:lpstr>
      <vt:lpstr>⑤RPR!Print_Area</vt:lpstr>
      <vt:lpstr>'Test List'!Print_Area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松下 詠一郎</dc:creator>
  <cp:keywords/>
  <dc:description/>
  <cp:lastModifiedBy>Zheng Khoon Chai</cp:lastModifiedBy>
  <cp:revision/>
  <dcterms:created xsi:type="dcterms:W3CDTF">2015-06-05T18:19:34Z</dcterms:created>
  <dcterms:modified xsi:type="dcterms:W3CDTF">2026-04-20T06:33:15Z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3eb61a-fd83-4407-9f6a-71e8749d46c1_Enabled">
    <vt:lpwstr>true</vt:lpwstr>
  </property>
  <property fmtid="{D5CDD505-2E9C-101B-9397-08002B2CF9AE}" pid="3" name="MSIP_Label_b23eb61a-fd83-4407-9f6a-71e8749d46c1_SetDate">
    <vt:lpwstr>2026-02-19T06:37:34Z</vt:lpwstr>
  </property>
  <property fmtid="{D5CDD505-2E9C-101B-9397-08002B2CF9AE}" pid="4" name="MSIP_Label_b23eb61a-fd83-4407-9f6a-71e8749d46c1_Method">
    <vt:lpwstr>Standard</vt:lpwstr>
  </property>
  <property fmtid="{D5CDD505-2E9C-101B-9397-08002B2CF9AE}" pid="5" name="MSIP_Label_b23eb61a-fd83-4407-9f6a-71e8749d46c1_Name">
    <vt:lpwstr>通用</vt:lpwstr>
  </property>
  <property fmtid="{D5CDD505-2E9C-101B-9397-08002B2CF9AE}" pid="6" name="MSIP_Label_b23eb61a-fd83-4407-9f6a-71e8749d46c1_SiteId">
    <vt:lpwstr>2151c7d1-a2f9-4fdb-9325-4d1ad1633565</vt:lpwstr>
  </property>
  <property fmtid="{D5CDD505-2E9C-101B-9397-08002B2CF9AE}" pid="7" name="MSIP_Label_b23eb61a-fd83-4407-9f6a-71e8749d46c1_ActionId">
    <vt:lpwstr>16ab1d1a-d394-4535-bdb6-be139d762389</vt:lpwstr>
  </property>
  <property fmtid="{D5CDD505-2E9C-101B-9397-08002B2CF9AE}" pid="8" name="MSIP_Label_b23eb61a-fd83-4407-9f6a-71e8749d46c1_ContentBits">
    <vt:lpwstr>0</vt:lpwstr>
  </property>
  <property fmtid="{D5CDD505-2E9C-101B-9397-08002B2CF9AE}" pid="9" name="MSIP_Label_b23eb61a-fd83-4407-9f6a-71e8749d46c1_Tag">
    <vt:lpwstr>10, 3, 0, 1</vt:lpwstr>
  </property>
  <property fmtid="{D5CDD505-2E9C-101B-9397-08002B2CF9AE}" pid="10" name="ContentTypeId">
    <vt:lpwstr>0x01010081970EF9201D0A4398DDFEDB54240A32</vt:lpwstr>
  </property>
  <property fmtid="{D5CDD505-2E9C-101B-9397-08002B2CF9AE}" pid="11" name="MediaServiceImageTags">
    <vt:lpwstr/>
  </property>
</Properties>
</file>