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zhengkhoon.chai\Downloads\JP project\"/>
    </mc:Choice>
  </mc:AlternateContent>
  <xr:revisionPtr revIDLastSave="0" documentId="13_ncr:1_{91067816-D1B8-48AB-8DCA-8087CA28A359}" xr6:coauthVersionLast="47" xr6:coauthVersionMax="47" xr10:uidLastSave="{00000000-0000-0000-0000-000000000000}"/>
  <bookViews>
    <workbookView xWindow="-110" yWindow="-110" windowWidth="19420" windowHeight="11500" firstSheet="6" activeTab="8" xr2:uid="{00000000-000D-0000-FFFF-FFFF00000000}"/>
  </bookViews>
  <sheets>
    <sheet name=" premise" sheetId="3" state="hidden" r:id="rId1"/>
    <sheet name=" Test List" sheetId="14" r:id="rId2"/>
    <sheet name=" summary" sheetId="5" r:id="rId3"/>
    <sheet name=" →not translation" sheetId="17" r:id="rId4"/>
    <sheet name=" ③ Communication" sheetId="2" r:id="rId5"/>
    <sheet name=" ④ Control" sheetId="6" r:id="rId6"/>
    <sheet name=" ① Renewable energy" sheetId="9" r:id="rId7"/>
    <sheet name=" ① Renewable energy storage" sheetId="13" r:id="rId8"/>
    <sheet name=" ② Grid charging" sheetId="16" r:id="rId9"/>
    <sheet name=" ⑤ RPR" sheetId="7" r:id="rId10"/>
  </sheets>
  <externalReferences>
    <externalReference r:id="rId11"/>
    <externalReference r:id="rId12"/>
    <externalReference r:id="rId13"/>
    <externalReference r:id="rId14"/>
    <externalReference r:id="rId15"/>
    <externalReference r:id="rId16"/>
    <externalReference r:id="rId17"/>
    <externalReference r:id="rId18"/>
  </externalReferences>
  <definedNames>
    <definedName name="_xlnm.Print_Area" localSheetId="6">[1]①再エネ!$A$1:$M$52</definedName>
    <definedName name="_xlnm.Print_Area" localSheetId="7">[2]①再エネ蓄電!$A$1:$L$52</definedName>
    <definedName name="_xlnm.Print_Area" localSheetId="8">[3]②系統充電!$A$1:$L$47</definedName>
    <definedName name="_xlnm.Print_Area" localSheetId="4">[4]③通信!$A$1:$L$50</definedName>
    <definedName name="_xlnm.Print_Area" localSheetId="5">[5]④制御!$A$1:$L$46</definedName>
    <definedName name="_xlnm.Print_Area" localSheetId="9">[6]⑤RPR!$A$1:$L$49</definedName>
    <definedName name="_xlnm.Print_Area" localSheetId="1">'[7]Test List'!$A$1:$H$11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6" l="1"/>
  <c r="D38" i="16"/>
  <c r="D34" i="16"/>
  <c r="D39" i="16"/>
  <c r="D37" i="16"/>
  <c r="D36" i="16"/>
  <c r="D35" i="16"/>
  <c r="D40" i="7"/>
  <c r="D41" i="7" l="1"/>
  <c r="D49" i="13" l="1"/>
  <c r="D48" i="13"/>
  <c r="D47" i="13"/>
  <c r="D46" i="13"/>
  <c r="D45" i="13"/>
  <c r="D44" i="13"/>
  <c r="D43" i="13"/>
  <c r="D42" i="13"/>
  <c r="D41" i="13"/>
  <c r="D40" i="13"/>
  <c r="D39" i="13"/>
  <c r="D38" i="13"/>
  <c r="D37" i="13"/>
  <c r="D36" i="13"/>
  <c r="D35" i="13"/>
  <c r="D34" i="13"/>
  <c r="E49" i="9"/>
  <c r="E48" i="9"/>
  <c r="E47" i="9"/>
  <c r="E46" i="9"/>
  <c r="E45" i="9"/>
  <c r="E44" i="9"/>
  <c r="E43" i="9"/>
  <c r="E42" i="9"/>
  <c r="E39" i="9"/>
  <c r="E41" i="9" l="1"/>
  <c r="E40" i="9"/>
  <c r="E37" i="9"/>
  <c r="E38" i="9" l="1"/>
  <c r="E36" i="9"/>
  <c r="E35" i="9"/>
  <c r="D39" i="7"/>
  <c r="D36" i="7"/>
  <c r="D35" i="7"/>
  <c r="D34" i="7"/>
  <c r="D37" i="7"/>
  <c r="D38" i="7"/>
  <c r="D33" i="7"/>
</calcChain>
</file>

<file path=xl/sharedStrings.xml><?xml version="1.0" encoding="utf-8"?>
<sst xmlns="http://schemas.openxmlformats.org/spreadsheetml/2006/main" count="628" uniqueCount="218">
  <si>
    <t>premise</t>
    <phoneticPr fontId="2"/>
  </si>
  <si>
    <t>◆The accuracy of preventing reverse power flow shall be the detection level (whichever is greater, +5% of the rated output or +150W) and the detection time (within 5 minutes).</t>
    <phoneticPr fontId="2"/>
  </si>
  <si>
    <t>◆When output control is 0%</t>
    <phoneticPr fontId="2"/>
  </si>
  <si>
    <t>① In surplus power purchase, control is used to set the reverse power flow at the interconnection point to zero (self-consumption = power generation output, etc.), or to set the power generation output, etc. to 0%.</t>
    <phoneticPr fontId="2"/>
  </si>
  <si>
    <t>② In the case of full purchase, output control (0%) means that the power generation output etc. is set to 0%.</t>
    <phoneticPr fontId="2"/>
  </si>
  <si>
    <t>◆The time it takes for the output of the PCS, etc., to change from 100% to 0% output (0% to 100% output) can be adjusted in 1-minute increments within a 10-minute period.</t>
    <phoneticPr fontId="2"/>
  </si>
  <si>
    <t>(Error margin is ±5% (at room temperature)). The rate of change should be kept constant at "100%/(5-10 minutes)".</t>
    <phoneticPr fontId="2"/>
  </si>
  <si>
    <t>Kyushu Electric Power Co., Ltd.</t>
  </si>
  <si>
    <t>Technical specifications for cases where a battery is installed alongside a renewable energy power source</t>
  </si>
  <si>
    <t>Item No.</t>
  </si>
  <si>
    <t>Technical Specifications</t>
  </si>
  <si>
    <t>Items to be confirmed / Check point</t>
  </si>
  <si>
    <t>Submitted data</t>
  </si>
  <si>
    <t>Test method *1, *2</t>
  </si>
  <si>
    <t>Pass criteria</t>
  </si>
  <si>
    <t>Remarks</t>
  </si>
  <si>
    <t>1</t>
  </si>
  <si>
    <t>[Technical Specifications (1) and (3)] Assurance against the output control command value</t>
  </si>
  <si>
    <t>If the reverse power flow from the power plant to the grid exceeds the output control command value, the renewable energy PCS and battery PCS will shut down within 5 minutes.</t>
  </si>
  <si>
    <t>Data showing the interconnection point power, renewable energy generation power, and battery charging power relative to the output control command value at the time of deviation, for the cases of "renewable energy generation only" and "renewable energy generation + battery".</t>
  </si>
  <si>
    <t>&lt;Onamba&gt; Send a 10% command to the pseudo power server. Send a 20% command to the pseudo power server.  &lt;Univers software support&gt; ◆ Case: "Renewable generation only" *No need to stop the PCS on site ・Storage PCS in standby state (no charge/discharge command executed) ・Control rate 10% command -&gt; turn OFF the control functions of the three PCS units (modify the point file) -&gt; stop function enabled -&gt; 5 minutes elapse -&gt; PCS stops ・Control rate 20% command -&gt; turn OFF the control functions of the three PCS units (modify the point file) -&gt; stop function enabled -&gt; 5 minutes elapse -&gt; PCS stops  ◆ Case: "Renewable generation + storage battery" *No need to stop the PCS on site ・Storage PCS in discharge state (Univers instruction: discharge 30% (450 kW)) ・Control rate 10% (150 kW) command -&gt; turn OFF the control functions of the five PCS units (625 kW) (modify the point file) -&gt; stop function enabled -&gt; 5 minutes elapse -&gt; PCS stops *It is sufficient if 1075 kW is output and the PCS and storage PCS stop ・Control rate 20% commandCommand -&gt; Set the PCS control function for 5 units (625 kW) to OFF (revise the point file) -&gt; stop function enabled -&gt; after 5 minutes -&gt; PCS stops ※ It is sufficient if 1,075 kW is output and the PCS and battery PCS stop.</t>
  </si>
  <si>
    <t>When the 5-minute average is exceeded Execute the control command value on the emulator</t>
  </si>
  <si>
    <t>②</t>
    <phoneticPr fontId="10"/>
  </si>
  <si>
    <t>Upgrade for entire file translation at doc2lang.com</t>
  </si>
  <si>
    <t>① Renewable energy</t>
    <rPh sb="1" eb="2">
      <t>Rhino</t>
    </rPh>
    <phoneticPr fontId="2"/>
  </si>
  <si>
    <t>Before starting</t>
    <rPh sb="0" eb="3">
      <t>Kaishimae</t>
    </rPh>
    <phoneticPr fontId="2"/>
  </si>
  <si>
    <t>STEP 1</t>
    <phoneticPr fontId="2"/>
  </si>
  <si>
    <t>STEP 2</t>
    <phoneticPr fontId="2"/>
  </si>
  <si>
    <t>STEP 3</t>
  </si>
  <si>
    <t>STEP 4</t>
  </si>
  <si>
    <t>STEP 5</t>
  </si>
  <si>
    <t>Power server</t>
    <rPh sb="0" eb="2">
      <t>Power</t>
    </rPh>
    <phoneticPr fontId="2"/>
  </si>
  <si>
    <t>PV PCS</t>
    <phoneticPr fontId="2"/>
  </si>
  <si>
    <t>Power generation</t>
    <rPh sb="0" eb="2">
      <t>Hatsuden</t>
    </rPh>
    <phoneticPr fontId="2"/>
  </si>
  <si>
    <t>Stop</t>
    <rPh sb="0" eb="2">
      <t>Teishi</t>
    </rPh>
    <phoneticPr fontId="2"/>
  </si>
  <si>
    <t>Power storage PCS</t>
    <rPh sb="0" eb="2">
      <t>Chikuden</t>
    </rPh>
    <phoneticPr fontId="2"/>
  </si>
  <si>
    <t>charge/discharge</t>
    <rPh sb="0" eb="3">
      <t>Juuhouden</t>
    </rPh>
    <phoneticPr fontId="2"/>
  </si>
  <si>
    <t>Stop or charge</t>
    <rPh sb="0" eb="2">
      <t>Teishi</t>
    </rPh>
    <rPh sb="4" eb="6">
      <t>Juden</t>
    </rPh>
    <phoneticPr fontId="2"/>
  </si>
  <si>
    <t>Electricity meter</t>
    <rPh sb="0" eb="2">
      <t>Power</t>
    </rPh>
    <phoneticPr fontId="2"/>
  </si>
  <si>
    <t>Corresponding to solar radiation</t>
    <rPh sb="0" eb="4">
      <t>Nissha Souou</t>
    </rPh>
    <phoneticPr fontId="2"/>
  </si>
  <si>
    <t>Equivalent to 10%</t>
    <rPh sb="3" eb="5">
      <t>Soutou</t>
    </rPh>
    <phoneticPr fontId="2"/>
  </si>
  <si>
    <t>0kW</t>
    <phoneticPr fontId="2"/>
  </si>
  <si>
    <t>Equivalent to 20%</t>
    <rPh sb="3" eb="5">
      <t>Soutou</t>
    </rPh>
    <phoneticPr fontId="2"/>
  </si>
  <si>
    <t>PCS control software</t>
    <rPh sb="3" eb="5">
      <t>Seigyo</t>
    </rPh>
    <phoneticPr fontId="2"/>
  </si>
  <si>
    <t>―</t>
    <phoneticPr fontId="2"/>
  </si>
  <si>
    <t>1 unit control OFF</t>
    <rPh sb="1" eb="2">
      <t>Thailand</t>
    </rPh>
    <rPh sb="2" eb="4">
      <t>Seigyo</t>
    </rPh>
    <phoneticPr fontId="2"/>
  </si>
  <si>
    <t>Testing is required.</t>
    <rPh sb="1" eb="3">
      <t>Test</t>
    </rPh>
    <rPh sb="6" eb="8">
      <t>Sousa</t>
    </rPh>
    <rPh sb="9" eb="11">
      <t>Needs</t>
    </rPh>
    <phoneticPr fontId="2"/>
  </si>
  <si>
    <t>: Automatic state changes due to operation</t>
    <rPh sb="1" eb="3">
      <t>Sousa</t>
    </rPh>
    <rPh sb="6" eb="8">
      <t>Jidou</t>
    </rPh>
    <rPh sb="8" eb="9">
      <t>Teki</t>
    </rPh>
    <rPh sb="10" eb="12">
      <t>Condition</t>
    </rPh>
    <rPh sb="12" eb="14">
      <t>Henka</t>
    </rPh>
    <phoneticPr fontId="2"/>
  </si>
  <si>
    <t>: Numerical values, status, and items to check.</t>
    <rPh sb="1" eb="3">
      <t>Suuchi</t>
    </rPh>
    <rPh sb="4" eb="6">
      <t>Condition</t>
    </rPh>
    <rPh sb="7" eb="9">
      <t>Kakunin</t>
    </rPh>
    <rPh sb="9" eb="11">
      <t>Koumoku</t>
    </rPh>
    <phoneticPr fontId="2"/>
  </si>
  <si>
    <t>① Renewable energy storage</t>
    <rPh sb="1" eb="2">
      <t>Rhino</t>
    </rPh>
    <rPh sb="4" eb="6">
      <t>Chikuden</t>
    </rPh>
    <phoneticPr fontId="2"/>
  </si>
  <si>
    <t>Aggregator</t>
    <phoneticPr fontId="2"/>
  </si>
  <si>
    <t>100% discharge</t>
    <rPh sb="4" eb="6">
      <t>Hoden</t>
    </rPh>
    <phoneticPr fontId="2"/>
  </si>
  <si>
    <t>② [Technical Specifications (2) (3)] &lt;Optional for newly certified FIP and non-FIT from FY2024 onwards&gt; Guarantee that battery charging power is derived from renewable energy.</t>
    <rPh sb="2" eb="4">
      <t>Technology</t>
    </rPh>
    <rPh sb="4" eb="6">
      <t>Shou</t>
    </rPh>
    <rPh sb="18" eb="20">
      <t>Nendo</t>
    </rPh>
    <rPh sb="20" eb="22">
      <t>Ikou</t>
    </rPh>
    <rPh sb="22" eb="24">
      <t>Shinki</t>
    </rPh>
    <rPh sb="24" eb="26">
      <t>Nintei</t>
    </rPh>
    <rPh sb="32" eb="33">
      <t>Hi</t>
    </rPh>
    <rPh sb="37" eb="39">
      <t>Nin'i</t>
    </rPh>
    <rPh sb="40" eb="43">
      <t>Chikudenchi</t>
    </rPh>
    <rPh sb="43" eb="45">
      <t>Juden</t>
    </rPh>
    <rPh sb="45" eb="47">
      <t>Power</t>
    </rPh>
    <rPh sb="48" eb="49">
      <t>Rhino</t>
    </rPh>
    <rPh sb="51" eb="53">
      <t>Yuray</t>
    </rPh>
    <rPh sb="59" eb="61">
      <t>Tampon</t>
    </rPh>
    <phoneticPr fontId="2"/>
  </si>
  <si>
    <t>Power generation</t>
  </si>
  <si>
    <t>110kW charging</t>
    <phoneticPr fontId="2"/>
  </si>
  <si>
    <t>110kW charging</t>
  </si>
  <si>
    <t>Change settings</t>
    <rPh sb="0" eb="4">
      <t>Change settings</t>
    </rPh>
    <phoneticPr fontId="2"/>
  </si>
  <si>
    <t>100% charge</t>
    <rPh sb="4" eb="6">
      <t>Juden</t>
    </rPh>
    <phoneticPr fontId="2"/>
  </si>
  <si>
    <t>③ 6.4 [Technical Specifications (4)] Responsiveness to Communication Anomalies</t>
    <rPh sb="6" eb="8">
      <t>Technology</t>
    </rPh>
    <rPh sb="8" eb="10">
      <t>Shou</t>
    </rPh>
    <rPh sb="14" eb="16">
      <t>Communication</t>
    </rPh>
    <rPh sb="16" eb="18">
      <t>Ijo</t>
    </rPh>
    <rPh sb="19" eb="20">
      <t>Thailand</t>
    </rPh>
    <rPh sb="22" eb="24">
      <t>Cherry</t>
    </rPh>
    <rPh sb="24" eb="25">
      <t>Sei</t>
    </rPh>
    <phoneticPr fontId="2"/>
  </si>
  <si>
    <t>STEP 3</t>
    <phoneticPr fontId="2"/>
  </si>
  <si>
    <t>STEP 4</t>
    <phoneticPr fontId="2"/>
  </si>
  <si>
    <t>STEP 5</t>
    <phoneticPr fontId="2"/>
  </si>
  <si>
    <t>STEP 6</t>
    <phoneticPr fontId="2"/>
  </si>
  <si>
    <t>charging</t>
    <rPh sb="0" eb="2">
      <t>Juden</t>
    </rPh>
    <phoneticPr fontId="2"/>
  </si>
  <si>
    <t>LAN router</t>
    <phoneticPr fontId="2"/>
  </si>
  <si>
    <t>connection</t>
    <rPh sb="0" eb="2">
      <t>Connection</t>
    </rPh>
    <phoneticPr fontId="2"/>
  </si>
  <si>
    <t>Lost track</t>
    <rPh sb="0" eb="2">
      <t>Lysene</t>
    </rPh>
    <phoneticPr fontId="2"/>
  </si>
  <si>
    <t>LAN-PV PCS</t>
    <phoneticPr fontId="2"/>
  </si>
  <si>
    <t>LAN-Energy storage PCS</t>
    <rPh sb="4" eb="6">
      <t>Chikuden</t>
    </rPh>
    <phoneticPr fontId="2"/>
  </si>
  <si>
    <t>④ [Technical Specifications (1) (5)] Control accuracy relative to the control target value</t>
    <phoneticPr fontId="2"/>
  </si>
  <si>
    <t>Power generation, suppression</t>
    <rPh sb="0" eb="2">
      <t>Hatsuden</t>
    </rPh>
    <rPh sb="3" eb="5">
      <t>Preservation</t>
    </rPh>
    <phoneticPr fontId="2"/>
  </si>
  <si>
    <t>Corresponding to solar radiation</t>
    <phoneticPr fontId="2"/>
  </si>
  <si>
    <t>Equivalent to 30%</t>
    <rPh sb="3" eb="5">
      <t>Soutou</t>
    </rPh>
    <phoneticPr fontId="2"/>
  </si>
  <si>
    <t>Equivalent to 60%</t>
    <rPh sb="3" eb="5">
      <t>Soutou</t>
    </rPh>
    <phoneticPr fontId="2"/>
  </si>
  <si>
    <t>⑤ [Technical Specifications (6)] Control Accuracy for Contracted Capacity Control</t>
    <phoneticPr fontId="2"/>
  </si>
  <si>
    <t>Start → Stop</t>
    <rPh sb="0" eb="2">
      <t>Kidou</t>
    </rPh>
    <rPh sb="3" eb="5">
      <t>Teishi</t>
    </rPh>
    <phoneticPr fontId="2"/>
  </si>
  <si>
    <t>discharge 90%</t>
    <rPh sb="0" eb="2">
      <t>Hoden</t>
    </rPh>
    <phoneticPr fontId="2"/>
  </si>
  <si>
    <t>Equivalent to 90%</t>
    <rPh sb="3" eb="5">
      <t>Soutou</t>
    </rPh>
    <phoneticPr fontId="2"/>
  </si>
  <si>
    <t>Energy storage PCS control</t>
    <rPh sb="0" eb="2">
      <t>Chikuden</t>
    </rPh>
    <rPh sb="5" eb="7">
      <t>Seigyo</t>
    </rPh>
    <phoneticPr fontId="2"/>
  </si>
  <si>
    <t>100% discharge</t>
    <rPh sb="0" eb="2">
      <t>Hoden</t>
    </rPh>
    <phoneticPr fontId="2"/>
  </si>
  <si>
    <t>Discharge instruction canceled</t>
    <rPh sb="0" eb="2">
      <t>Hoden</t>
    </rPh>
    <rPh sb="2" eb="4">
      <t>Shiji</t>
    </rPh>
    <rPh sb="4" eb="6">
      <t>Kaijo</t>
    </rPh>
    <phoneticPr fontId="2"/>
  </si>
  <si>
    <t>③ [Technical Specifications (4)] Responsiveness to Communication Anomalies</t>
    <phoneticPr fontId="2"/>
  </si>
  <si>
    <t>Exam on April 6th</t>
    <rPh sb="3" eb="5">
      <t>Test</t>
    </rPh>
    <phoneticPr fontId="2"/>
  </si>
  <si>
    <t>Content</t>
    <rPh sb="0" eb="2">
      <t>Interior</t>
    </rPh>
    <phoneticPr fontId="2"/>
  </si>
  <si>
    <t>If a communication anomaly occurs between the PCS (in the broad sense) and the higher-level system, output control shall be implemented according to the latest output control schedule prior to the failure.</t>
    <phoneticPr fontId="2"/>
  </si>
  <si>
    <t>If an internal communication abnormality occurs in the PCS (in the broad sense), power generation and charging/discharging will be stopped for both renewable energy and battery storage.</t>
    <phoneticPr fontId="2"/>
  </si>
  <si>
    <t>Estimated test time: 1 hour</t>
    <rPh sb="0" eb="2">
      <t>Meyasu</t>
    </rPh>
    <rPh sb="4" eb="6">
      <t>time</t>
    </rPh>
    <phoneticPr fontId="2"/>
  </si>
  <si>
    <t>conditions</t>
    <rPh sb="0" eb="2">
      <t>Jouken</t>
    </rPh>
    <phoneticPr fontId="2"/>
  </si>
  <si>
    <t>The battery must be capable of charging and discharging (guideline: around 50% SOC).</t>
    <rPh sb="0" eb="3">
      <t>Chikudenchi</t>
    </rPh>
    <rPh sb="4" eb="7">
      <t>Juuhouden</t>
    </rPh>
    <rPh sb="7" eb="9">
      <t>Kanou</t>
    </rPh>
    <rPh sb="15" eb="17">
      <t>Meyasu</t>
    </rPh>
    <rPh sb="25" eb="27">
      <t>Dishcloth</t>
    </rPh>
    <phoneticPr fontId="2"/>
  </si>
  <si>
    <t>The PV PCS must be in a state where it can generate electricity (during the daytime).</t>
    <rPh sb="7" eb="9">
      <t>Hatsuden</t>
    </rPh>
    <rPh sb="9" eb="11">
      <t>Kanou</t>
    </rPh>
    <rPh sb="12" eb="14">
      <t>Condition</t>
    </rPh>
    <rPh sb="20" eb="22">
      <t>Nichichu</t>
    </rPh>
    <phoneticPr fontId="2"/>
  </si>
  <si>
    <t>overview</t>
    <rPh sb="0" eb="2">
      <t>Outer</t>
    </rPh>
    <phoneticPr fontId="2"/>
  </si>
  <si>
    <t>・Ten minutes before the shift change, disconnect the LAN cable between the power supply command and the output control unit (router ⇔ EMS HUB).</t>
    <rPh sb="3" eb="4">
      <t>mosquito</t>
    </rPh>
    <rPh sb="8" eb="10">
      <t>Funmae</t>
    </rPh>
    <rPh sb="51" eb="53">
      <t>Lysene</t>
    </rPh>
    <phoneticPr fontId="2"/>
  </si>
  <si>
    <t>① Disconnect the LAN cable from the router.</t>
    <rPh sb="5" eb="6">
      <t>Outer</t>
    </rPh>
    <rPh sb="15" eb="16">
      <t>Ha</t>
    </rPh>
    <phoneticPr fontId="2"/>
  </si>
  <si>
    <t>Operate according to the saved output control schedule. (Basically 100%)</t>
    <rPh sb="1" eb="3">
      <t>Hozon</t>
    </rPh>
    <rPh sb="6" eb="8">
      <t>Output</t>
    </rPh>
    <rPh sb="8" eb="10">
      <t>Seigyo</t>
    </rPh>
    <rPh sb="17" eb="19">
      <t>Dousa</t>
    </rPh>
    <rPh sb="25" eb="27">
      <t>Basics</t>
    </rPh>
    <phoneticPr fontId="2"/>
  </si>
  <si>
    <t>Control will be performed at 20% of the total capacity (400kW).</t>
    <rPh sb="0" eb="2">
      <t>Seigyo</t>
    </rPh>
    <rPh sb="3" eb="5">
      <t>Zentai</t>
    </rPh>
    <rPh sb="17" eb="18">
      <t>Okonna</t>
    </rPh>
    <phoneticPr fontId="2"/>
  </si>
  <si>
    <t>- Disconnect the LAN cable between the PVPCS and the output control unit (PV PCS ⇔ EMS HUB).</t>
    <rPh sb="9" eb="13">
      <t>Output control</t>
    </rPh>
    <rPh sb="45" eb="47">
      <t>Lysene</t>
    </rPh>
    <phoneticPr fontId="2"/>
  </si>
  <si>
    <t>Disconnect the LAN cable between the smart logger and the EMS.</t>
    <rPh sb="11" eb="12">
      <t>Kan</t>
    </rPh>
    <rPh sb="17" eb="18">
      <t>Ha</t>
    </rPh>
    <phoneticPr fontId="2"/>
  </si>
  <si>
    <t>We confirmed that the PV PCS would shut down within 5 minutes using the PCS's functions.</t>
    <rPh sb="4" eb="5">
      <t>Kawa</t>
    </rPh>
    <rPh sb="6" eb="8">
      <t>Yesterday</t>
    </rPh>
    <rPh sb="10" eb="11">
      <t>Hmm</t>
    </rPh>
    <rPh sb="11" eb="13">
      <t>Inai</t>
    </rPh>
    <rPh sb="21" eb="23">
      <t>Teishi</t>
    </rPh>
    <rPh sb="28" eb="30">
      <t>Kakunin</t>
    </rPh>
    <phoneticPr fontId="2"/>
  </si>
  <si>
    <t>- Disconnect the LAN cable between the energy storage PCS and the output control unit (energy storage PCS ⇔ EMS HUB).</t>
    <rPh sb="1" eb="3">
      <t>Chikuden</t>
    </rPh>
    <rPh sb="9" eb="13">
      <t>Output control</t>
    </rPh>
    <rPh sb="27" eb="29">
      <t>Chikuden</t>
    </rPh>
    <rPh sb="44" eb="46">
      <t>Lysene</t>
    </rPh>
    <phoneticPr fontId="2"/>
  </si>
  <si>
    <t>We confirmed that the PCS (Power Conditioning System) would shut down within 5 minutes using its own functions.</t>
    <rPh sb="4" eb="5">
      <t>Kawa</t>
    </rPh>
    <rPh sb="6" eb="8">
      <t>Yesterday</t>
    </rPh>
    <rPh sb="10" eb="11">
      <t>Hmm</t>
    </rPh>
    <rPh sb="11" eb="13">
      <t>Inai</t>
    </rPh>
    <rPh sb="14" eb="16">
      <t>Chikuden</t>
    </rPh>
    <rPh sb="20" eb="22">
      <t>Teishi</t>
    </rPh>
    <rPh sb="27" eb="29">
      <t>Kakunin</t>
    </rPh>
    <phoneticPr fontId="2"/>
  </si>
  <si>
    <t>Exam on April 7th</t>
    <rPh sb="3" eb="5">
      <t>Test</t>
    </rPh>
    <phoneticPr fontId="2"/>
  </si>
  <si>
    <t>detail</t>
    <rPh sb="0" eb="2">
      <t>Shosai</t>
    </rPh>
    <phoneticPr fontId="2"/>
  </si>
  <si>
    <t>No</t>
    <phoneticPr fontId="2"/>
  </si>
  <si>
    <t>Example time</t>
    <rPh sb="0" eb="2">
      <t>Jikoku</t>
    </rPh>
    <rPh sb="2" eb="3">
      <t>Ray</t>
    </rPh>
    <phoneticPr fontId="2"/>
  </si>
  <si>
    <t>Confirmation and operation details</t>
    <rPh sb="0" eb="2">
      <t>Kakunin</t>
    </rPh>
    <rPh sb="3" eb="5">
      <t>Sousa</t>
    </rPh>
    <rPh sb="5" eb="7">
      <t>Interior</t>
    </rPh>
    <phoneticPr fontId="2"/>
  </si>
  <si>
    <t>STEP</t>
    <phoneticPr fontId="2"/>
  </si>
  <si>
    <t>ONO</t>
    <phoneticPr fontId="2"/>
  </si>
  <si>
    <t>EPC, energy storage manufacturer</t>
    <rPh sb="4" eb="6">
      <t>Chikuden</t>
    </rPh>
    <phoneticPr fontId="2"/>
  </si>
  <si>
    <t>Univers</t>
    <phoneticPr fontId="2"/>
  </si>
  <si>
    <t>The battery's SOC (State of Charge) is confirmed to be around 50%. The control will be set to 10% at the 9:30 frame.</t>
    <rPh sb="19" eb="20">
      <t>Ji</t>
    </rPh>
    <rPh sb="22" eb="23">
      <t>Hmm</t>
    </rPh>
    <phoneticPr fontId="2"/>
  </si>
  <si>
    <t>The battery's SOC is confirmed to be around 50%. The control level will be set to 20%.</t>
    <phoneticPr fontId="2"/>
  </si>
  <si>
    <t>If the SOC is not within ±20% of 50%, issue a command to bring it closer to 50%.</t>
    <rPh sb="11" eb="13">
      <t>Inai</t>
    </rPh>
    <rPh sb="16" eb="18">
      <t>By</t>
    </rPh>
    <rPh sb="20" eb="22">
      <t>Shirei</t>
    </rPh>
    <rPh sb="23" eb="24">
      <t>Da</t>
    </rPh>
    <rPh sb="29" eb="30">
      <t>Chika</t>
    </rPh>
    <phoneticPr fontId="2"/>
  </si>
  <si>
    <t>MM</t>
    <phoneticPr fontId="2"/>
  </si>
  <si>
    <t>PCS1</t>
    <phoneticPr fontId="2"/>
  </si>
  <si>
    <t>PCS2</t>
    <phoneticPr fontId="2"/>
  </si>
  <si>
    <t>PCS3</t>
    <phoneticPr fontId="2"/>
  </si>
  <si>
    <t>Power storage PCS1</t>
    <rPh sb="0" eb="2">
      <t>Chikuden</t>
    </rPh>
    <phoneticPr fontId="2"/>
  </si>
  <si>
    <t>Power storage PCS2</t>
    <rPh sb="0" eb="2">
      <t>Chikuden</t>
    </rPh>
    <phoneticPr fontId="2"/>
  </si>
  <si>
    <t>Power storage PCS3</t>
    <rPh sb="0" eb="2">
      <t>Chikuden</t>
    </rPh>
    <phoneticPr fontId="2"/>
  </si>
  <si>
    <t>Disconnect the LAN cable between the power supply command and the output control unit (router-side LAN cable).</t>
    <rPh sb="0" eb="2">
      <t>Kyuden</t>
    </rPh>
    <rPh sb="2" eb="4">
      <t>Shirei</t>
    </rPh>
    <rPh sb="5" eb="7">
      <t>Output</t>
    </rPh>
    <rPh sb="7" eb="9">
      <t>Seigyo</t>
    </rPh>
    <rPh sb="13" eb="14">
      <t>Kan</t>
    </rPh>
    <rPh sb="24" eb="26">
      <t>Lysene</t>
    </rPh>
    <rPh sb="31" eb="32">
      <t>Outer</t>
    </rPh>
    <phoneticPr fontId="2"/>
  </si>
  <si>
    <t>✓</t>
    <phoneticPr fontId="2"/>
  </si>
  <si>
    <t>Disconnect the LAN cable between the power supply command and the output control unit (router-side LAN cable).</t>
    <phoneticPr fontId="2"/>
  </si>
  <si>
    <t>Confirm that it operates according to the saved output control schedule (*1)</t>
    <rPh sb="0" eb="2">
      <t>Hozon</t>
    </rPh>
    <rPh sb="5" eb="7">
      <t>Output</t>
    </rPh>
    <rPh sb="7" eb="9">
      <t>Seigyo</t>
    </rPh>
    <rPh sb="17" eb="19">
      <t>Dousa</t>
    </rPh>
    <rPh sb="24" eb="26">
      <t>Kakunin</t>
    </rPh>
    <phoneticPr fontId="2"/>
  </si>
  <si>
    <t>Set output control to 10%.</t>
    <rPh sb="0" eb="4">
      <t>Output control</t>
    </rPh>
    <phoneticPr fontId="2"/>
  </si>
  <si>
    <t>The battery's SOC is confirmed to be around 50%. Control will be set to 30% at 14:00.</t>
    <rPh sb="20" eb="21">
      <t>Ji</t>
    </rPh>
    <rPh sb="23" eb="24">
      <t>Hmm</t>
    </rPh>
    <phoneticPr fontId="2"/>
  </si>
  <si>
    <t>Disconnect the LAN cable between the smart logger and the output control unit. Stop the PCS/power storage PCS.</t>
    <rPh sb="10" eb="12">
      <t>Output</t>
    </rPh>
    <rPh sb="12" eb="14">
      <t>Seigyo</t>
    </rPh>
    <rPh sb="18" eb="19">
      <t>Kan</t>
    </rPh>
    <rPh sb="29" eb="31">
      <t>Lysene</t>
    </rPh>
    <rPh sb="36" eb="38">
      <t>Chikuden</t>
    </rPh>
    <rPh sb="41" eb="43">
      <t>Teishi</t>
    </rPh>
    <phoneticPr fontId="2"/>
  </si>
  <si>
    <t>Confirm that the PV PCS will stop within 5 minutes.</t>
    <rPh sb="1" eb="2">
      <t>Hmm</t>
    </rPh>
    <rPh sb="2" eb="4">
      <t>Inai</t>
    </rPh>
    <rPh sb="12" eb="14">
      <t>Teishi</t>
    </rPh>
    <rPh sb="19" eb="21">
      <t>Kakunin</t>
    </rPh>
    <phoneticPr fontId="2"/>
  </si>
  <si>
    <t>Connect the LAN cable between the PV PCS and the output control unit, and confirm that the PV PCS starts up.</t>
    <rPh sb="9" eb="11">
      <t>Output</t>
    </rPh>
    <rPh sb="11" eb="13">
      <t>Seigyo</t>
    </rPh>
    <rPh sb="17" eb="18">
      <t>Kan</t>
    </rPh>
    <rPh sb="28" eb="30">
      <t>Connection</t>
    </rPh>
    <rPh sb="37" eb="39">
      <t>Kidou</t>
    </rPh>
    <rPh sb="40" eb="42">
      <t>Kakunin</t>
    </rPh>
    <phoneticPr fontId="2"/>
  </si>
  <si>
    <t>Disconnect the LAN cable between the energy storage PCS and the output control unit.</t>
    <rPh sb="0" eb="2">
      <t>Chikuden</t>
    </rPh>
    <rPh sb="8" eb="10">
      <t>Output</t>
    </rPh>
    <rPh sb="10" eb="12">
      <t>Seigyo</t>
    </rPh>
    <rPh sb="16" eb="17">
      <t>Kan</t>
    </rPh>
    <rPh sb="27" eb="29">
      <t>Lysene</t>
    </rPh>
    <phoneticPr fontId="2"/>
  </si>
  <si>
    <t>Confirm that the energy storage PCS will shut down within 5 minutes.</t>
    <rPh sb="1" eb="2">
      <t>Hmm</t>
    </rPh>
    <rPh sb="2" eb="4">
      <t>Inai</t>
    </rPh>
    <rPh sb="5" eb="7">
      <t>Chikuden</t>
    </rPh>
    <rPh sb="11" eb="13">
      <t>Teishi</t>
    </rPh>
    <rPh sb="18" eb="20">
      <t>Kakunin</t>
    </rPh>
    <phoneticPr fontId="2"/>
  </si>
  <si>
    <t>Connect the LAN cable between the energy storage PCS and the output control unit, and confirm that the energy storage PCS starts up.</t>
    <rPh sb="0" eb="2">
      <t>Chikuden</t>
    </rPh>
    <rPh sb="8" eb="10">
      <t>Output</t>
    </rPh>
    <rPh sb="10" eb="12">
      <t>Seigyo</t>
    </rPh>
    <rPh sb="16" eb="17">
      <t>Kan</t>
    </rPh>
    <rPh sb="27" eb="29">
      <t>Connection</t>
    </rPh>
    <rPh sb="30" eb="32">
      <t>Chikuden</t>
    </rPh>
    <rPh sb="35" eb="37">
      <t>Kidou</t>
    </rPh>
    <rPh sb="38" eb="40">
      <t>Kakunin</t>
    </rPh>
    <phoneticPr fontId="2"/>
  </si>
  <si>
    <t>*1:</t>
    <phoneticPr fontId="2"/>
  </si>
  <si>
    <t>Check the values for grid connection point power, PV PCS, and energy storage PCS in DevPortal and AppPortal.</t>
    <rPh sb="20" eb="23">
      <t>Renkeiten</t>
    </rPh>
    <rPh sb="23" eb="25">
      <t>Power</t>
    </rPh>
    <rPh sb="33" eb="35">
      <t>Chikuden</t>
    </rPh>
    <rPh sb="40" eb="41">
      <t>Me</t>
    </rPh>
    <rPh sb="42" eb="44">
      <t>Kakunin</t>
    </rPh>
    <phoneticPr fontId="2"/>
  </si>
  <si>
    <t>Check the reading on the power meter at the grid connection point and take a photograph.</t>
    <rPh sb="0" eb="3">
      <t>Renkeiten</t>
    </rPh>
    <rPh sb="3" eb="5">
      <t>Power</t>
    </rPh>
    <rPh sb="10" eb="12">
      <t>Hyoji</t>
    </rPh>
    <rPh sb="12" eb="13">
      <t>blood</t>
    </rPh>
    <rPh sb="14" eb="16">
      <t>Kakunin</t>
    </rPh>
    <rPh sb="17" eb="19">
      <t>Shashin</t>
    </rPh>
    <rPh sb="20" eb="22">
      <t>Satsuei</t>
    </rPh>
    <phoneticPr fontId="2"/>
  </si>
  <si>
    <t>③ [Technical Specifications (1) (5)] Control accuracy relative to the control target value</t>
    <phoneticPr fontId="2"/>
  </si>
  <si>
    <t>The control error must be controllable to within ±5% of the rated output relative to the control target value.</t>
  </si>
  <si>
    <t>Estimated test time: 1.5 hours</t>
    <rPh sb="0" eb="2">
      <t>Meyasu</t>
    </rPh>
    <rPh sb="4" eb="6">
      <t>time</t>
    </rPh>
    <phoneticPr fontId="2"/>
  </si>
  <si>
    <t>Three control instructions were input from the simulated power server.</t>
    <phoneticPr fontId="2"/>
  </si>
  <si>
    <t>- A 30% control instruction was input from the simulated power server.</t>
    <phoneticPr fontId="2"/>
  </si>
  <si>
    <t>- A 20% control instruction was input from the simulated power server.</t>
    <phoneticPr fontId="2"/>
  </si>
  <si>
    <t>- A 10% control instruction is input from the simulated power server.</t>
    <phoneticPr fontId="2"/>
  </si>
  <si>
    <t>*The control rate is variable. Enter the control rate that allows you to see when control is applied based on the weather conditions.</t>
    <rPh sb="1" eb="4">
      <t>Seigyoritsu</t>
    </rPh>
    <rPh sb="5" eb="7">
      <t>Kahen</t>
    </rPh>
    <rPh sb="8" eb="12">
      <t>Tenkojokyo</t>
    </rPh>
    <rPh sb="14" eb="16">
      <t>Seigyo</t>
    </rPh>
    <rPh sb="20" eb="22">
      <t>Condition</t>
    </rPh>
    <rPh sb="23" eb="24">
      <t>Mi</t>
    </rPh>
    <rPh sb="27" eb="30">
      <t>Seigyoritsu</t>
    </rPh>
    <rPh sb="31" eb="33">
      <t>Input</t>
    </rPh>
    <phoneticPr fontId="2"/>
  </si>
  <si>
    <t>Battery State of Charge (SOC) confirmed to be around 50%.</t>
    <rPh sb="9" eb="11">
      <t>Dishcloth</t>
    </rPh>
    <phoneticPr fontId="2"/>
  </si>
  <si>
    <t>Control instructions input from a simulated power server [14:30-14:59] [30%]</t>
    <rPh sb="0" eb="2">
      <t>Giji</t>
    </rPh>
    <rPh sb="2" eb="4">
      <t>Power</t>
    </rPh>
    <rPh sb="10" eb="12">
      <t>Seigyo</t>
    </rPh>
    <rPh sb="12" eb="14">
      <t>Shiji</t>
    </rPh>
    <rPh sb="14" eb="16">
      <t>Input</t>
    </rPh>
    <phoneticPr fontId="2"/>
  </si>
  <si>
    <t>Confirmed that 30% control has started. Confirmed that the power at the interconnection point has begun to decrease.</t>
    <rPh sb="3" eb="5">
      <t>Seigyo</t>
    </rPh>
    <rPh sb="5" eb="7">
      <t>Kaishi</t>
    </rPh>
    <rPh sb="8" eb="10">
      <t>Kakunin</t>
    </rPh>
    <rPh sb="11" eb="14">
      <t>Renkeiten</t>
    </rPh>
    <rPh sb="14" eb="16">
      <t>Power</t>
    </rPh>
    <rPh sb="17" eb="19">
      <t>Teika</t>
    </rPh>
    <rPh sb="20" eb="21">
      <t>Haji</t>
    </rPh>
    <rPh sb="26" eb="28">
      <t>Kakunin</t>
    </rPh>
    <phoneticPr fontId="2"/>
  </si>
  <si>
    <t>Confirmed that the power at the grid connection point is equivalent to 30% (*1)</t>
    <rPh sb="0" eb="3">
      <t>Renkeiten</t>
    </rPh>
    <rPh sb="3" eb="5">
      <t>Power</t>
    </rPh>
    <rPh sb="9" eb="11">
      <t>Soutou</t>
    </rPh>
    <rPh sb="17" eb="19">
      <t>Kakunin</t>
    </rPh>
    <phoneticPr fontId="2"/>
  </si>
  <si>
    <t>Control instructions input from a simulated power server [15:30-15:59] [20%]</t>
    <rPh sb="0" eb="2">
      <t>Giji</t>
    </rPh>
    <rPh sb="2" eb="4">
      <t>Power</t>
    </rPh>
    <rPh sb="10" eb="12">
      <t>Seigyo</t>
    </rPh>
    <rPh sb="12" eb="14">
      <t>Shiji</t>
    </rPh>
    <rPh sb="14" eb="16">
      <t>Input</t>
    </rPh>
    <phoneticPr fontId="2"/>
  </si>
  <si>
    <t>Confirmed 20% control initiation. Confirmed that the power at the interconnection point has begun to decrease.</t>
    <rPh sb="3" eb="5">
      <t>Seigyo</t>
    </rPh>
    <rPh sb="5" eb="7">
      <t>Kaishi</t>
    </rPh>
    <rPh sb="8" eb="10">
      <t>Kakunin</t>
    </rPh>
    <rPh sb="11" eb="14">
      <t>Renkeiten</t>
    </rPh>
    <rPh sb="14" eb="16">
      <t>Power</t>
    </rPh>
    <rPh sb="17" eb="19">
      <t>Teika</t>
    </rPh>
    <rPh sb="20" eb="21">
      <t>Haji</t>
    </rPh>
    <rPh sb="26" eb="28">
      <t>Kakunin</t>
    </rPh>
    <phoneticPr fontId="2"/>
  </si>
  <si>
    <t>Confirmed that the power at the grid connection point is equivalent to 20% (*1)</t>
    <rPh sb="0" eb="3">
      <t>Renkeiten</t>
    </rPh>
    <rPh sb="3" eb="5">
      <t>Power</t>
    </rPh>
    <rPh sb="9" eb="11">
      <t>Soutou</t>
    </rPh>
    <rPh sb="17" eb="19">
      <t>Kakunin</t>
    </rPh>
    <phoneticPr fontId="2"/>
  </si>
  <si>
    <t>Control instructions input from a simulated power server [16:00-16:29] [20%]</t>
    <rPh sb="0" eb="2">
      <t>Giji</t>
    </rPh>
    <rPh sb="2" eb="4">
      <t>Power</t>
    </rPh>
    <rPh sb="10" eb="12">
      <t>Seigyo</t>
    </rPh>
    <rPh sb="12" eb="14">
      <t>Shiji</t>
    </rPh>
    <rPh sb="14" eb="16">
      <t>Input</t>
    </rPh>
    <phoneticPr fontId="2"/>
  </si>
  <si>
    <t>Confirmed 10% control initiation. Confirmed that the power at the interconnection point has begun to decrease.</t>
    <rPh sb="3" eb="5">
      <t>Seigyo</t>
    </rPh>
    <rPh sb="5" eb="7">
      <t>Kaishi</t>
    </rPh>
    <rPh sb="8" eb="10">
      <t>Kakunin</t>
    </rPh>
    <rPh sb="11" eb="14">
      <t>Renkeiten</t>
    </rPh>
    <rPh sb="14" eb="16">
      <t>Power</t>
    </rPh>
    <rPh sb="17" eb="19">
      <t>Teika</t>
    </rPh>
    <rPh sb="20" eb="21">
      <t>Haji</t>
    </rPh>
    <rPh sb="26" eb="28">
      <t>Kakunin</t>
    </rPh>
    <phoneticPr fontId="2"/>
  </si>
  <si>
    <t>Confirmed that the power at the grid connection point is equivalent to 10% (*1)</t>
    <rPh sb="0" eb="3">
      <t>Renkeiten</t>
    </rPh>
    <rPh sb="3" eb="5">
      <t>Power</t>
    </rPh>
    <rPh sb="9" eb="11">
      <t>Soutou</t>
    </rPh>
    <rPh sb="17" eb="19">
      <t>Kakunin</t>
    </rPh>
    <phoneticPr fontId="2"/>
  </si>
  <si>
    <t>① [Technical Specifications (1) (3)] Guarantee against output control command values</t>
    <phoneticPr fontId="2"/>
  </si>
  <si>
    <t>◆ The case of "renewable energy generation only"</t>
    <phoneticPr fontId="2"/>
  </si>
  <si>
    <t>If the reverse power flow from the power plant to the grid exceeds the output control command value,</t>
  </si>
  <si>
    <t>The PV PCS and battery PCS must shut down within 5 minutes.</t>
    <rPh sb="1" eb="2">
      <t>B</t>
    </rPh>
    <rPh sb="2" eb="4">
      <t>Inai</t>
    </rPh>
    <rPh sb="11" eb="12">
      <t>Oyo</t>
    </rPh>
    <rPh sb="13" eb="16">
      <t>Chikudenchi</t>
    </rPh>
    <rPh sb="16" eb="17">
      <t>Yo</t>
    </rPh>
    <rPh sb="21" eb="23">
      <t>Teishi</t>
    </rPh>
    <phoneticPr fontId="2"/>
  </si>
  <si>
    <t>Estimated test time: 2 hours</t>
    <rPh sb="0" eb="2">
      <t>Meyasu</t>
    </rPh>
    <rPh sb="4" eb="6">
      <t>time</t>
    </rPh>
    <phoneticPr fontId="2"/>
  </si>
  <si>
    <t>The output control function of one PV PCS is turned OFF, creating a situation where the generated power deviates from the value indicated by the power server. (Univers software compatible)</t>
    <rPh sb="9" eb="10">
      <t>Thailand</t>
    </rPh>
    <rPh sb="11" eb="13">
      <t>Output</t>
    </rPh>
    <rPh sb="13" eb="15">
      <t>Seigyo</t>
    </rPh>
    <rPh sb="15" eb="17">
      <t>Yesterday</t>
    </rPh>
    <rPh sb="23" eb="27">
      <t>Power Generation Power</t>
    </rPh>
    <rPh sb="28" eb="30">
      <t>Power</t>
    </rPh>
    <rPh sb="34" eb="37">
      <t>Shijichi</t>
    </rPh>
    <rPh sb="38" eb="40">
      <t>Itsudatsu</t>
    </rPh>
    <rPh sb="42" eb="44">
      <t>Jōkyō</t>
    </rPh>
    <rPh sb="45" eb="47">
      <t>Hassei</t>
    </rPh>
    <rPh sb="62" eb="64">
      <t>Taiou</t>
    </rPh>
    <phoneticPr fontId="2"/>
  </si>
  <si>
    <t>Since turning off the control function prevents stopping,</t>
    <rPh sb="0" eb="2">
      <t>Seigyo</t>
    </rPh>
    <rPh sb="2" eb="4">
      <t>Yesterday</t>
    </rPh>
    <rPh sb="12" eb="14">
      <t>Teishi</t>
    </rPh>
    <rPh sb="19" eb="20">
      <t>Tame</t>
    </rPh>
    <phoneticPr fontId="2"/>
  </si>
  <si>
    <t>Confirmed that the PV PCS and energy storage PCS would shut down within 5 minutes.</t>
    <rPh sb="8" eb="10">
      <t>Chikuden</t>
    </rPh>
    <rPh sb="15" eb="16">
      <t>Hmm</t>
    </rPh>
    <rPh sb="16" eb="18">
      <t>Inai</t>
    </rPh>
    <rPh sb="19" eb="21">
      <t>Teishi</t>
    </rPh>
    <rPh sb="26" eb="28">
      <t>Kakunin</t>
    </rPh>
    <phoneticPr fontId="2"/>
  </si>
  <si>
    <t>The EGC command is set to 10%, but the software settings will be changed to run all three units at 100%.</t>
    <rPh sb="3" eb="5">
      <t>Shirei</t>
    </rPh>
    <rPh sb="27" eb="29">
      <t>Settei</t>
    </rPh>
    <rPh sb="29" eb="31">
      <t>Change</t>
    </rPh>
    <phoneticPr fontId="2"/>
  </si>
  <si>
    <t>- A 20% control instruction was input from the simulated power server.</t>
    <rPh sb="1" eb="3">
      <t>Giji</t>
    </rPh>
    <rPh sb="3" eb="5">
      <t>Power</t>
    </rPh>
    <rPh sb="16" eb="18">
      <t>Seigyo</t>
    </rPh>
    <rPh sb="18" eb="20">
      <t>Shiji</t>
    </rPh>
    <rPh sb="21" eb="23">
      <t>Input</t>
    </rPh>
    <phoneticPr fontId="2"/>
  </si>
  <si>
    <t>Control instructions input from a simulated power server [14:00-14:29] [5%]</t>
    <rPh sb="0" eb="2">
      <t>Giji</t>
    </rPh>
    <rPh sb="2" eb="4">
      <t>Power</t>
    </rPh>
    <rPh sb="10" eb="12">
      <t>Seigyo</t>
    </rPh>
    <rPh sb="12" eb="14">
      <t>Shiji</t>
    </rPh>
    <rPh sb="14" eb="16">
      <t>Input</t>
    </rPh>
    <phoneticPr fontId="2"/>
  </si>
  <si>
    <t>PCS1 output control reflection OFF</t>
    <rPh sb="5" eb="11">
      <t>Output control function</t>
    </rPh>
    <phoneticPr fontId="2"/>
  </si>
  <si>
    <t>Confirm that the PV PCS and energy storage PCS will shut down within 5 minutes.</t>
    <rPh sb="1" eb="2">
      <t>Hmm</t>
    </rPh>
    <rPh sb="2" eb="4">
      <t>Inai</t>
    </rPh>
    <rPh sb="12" eb="14">
      <t>Chikuden</t>
    </rPh>
    <rPh sb="18" eb="20">
      <t>Teishi</t>
    </rPh>
    <rPh sb="25" eb="27">
      <t>Kakunin</t>
    </rPh>
    <phoneticPr fontId="2"/>
  </si>
  <si>
    <t>Turn on the output control function of PCS1.</t>
    <rPh sb="5" eb="11">
      <t>Output control function</t>
    </rPh>
    <phoneticPr fontId="2"/>
  </si>
  <si>
    <t>PV PCS and energy storage PCS are started.</t>
    <rPh sb="7" eb="9">
      <t>Chikuden</t>
    </rPh>
    <rPh sb="13" eb="15">
      <t>Kidou</t>
    </rPh>
    <phoneticPr fontId="2"/>
  </si>
  <si>
    <t>Confirmed startup of PV PCS and energy storage PCS.</t>
    <rPh sb="7" eb="9">
      <t>Chikuden</t>
    </rPh>
    <rPh sb="13" eb="15">
      <t>Kidou</t>
    </rPh>
    <rPh sb="16" eb="18">
      <t>Kakunin</t>
    </rPh>
    <phoneticPr fontId="2"/>
  </si>
  <si>
    <t>Control instructions input from a simulated power server [12:00-12:29] [20%]</t>
    <rPh sb="0" eb="2">
      <t>Giji</t>
    </rPh>
    <rPh sb="2" eb="4">
      <t>Power</t>
    </rPh>
    <rPh sb="10" eb="12">
      <t>Seigyo</t>
    </rPh>
    <rPh sb="12" eb="14">
      <t>Shiji</t>
    </rPh>
    <rPh sb="14" eb="16">
      <t>Input</t>
    </rPh>
    <phoneticPr fontId="2"/>
  </si>
  <si>
    <t>Check the reading on the interconnection point meter and take a photo.</t>
    <rPh sb="0" eb="3">
      <t>Renkeiten</t>
    </rPh>
    <rPh sb="8" eb="10">
      <t>Hyoji</t>
    </rPh>
    <rPh sb="10" eb="11">
      <t>blood</t>
    </rPh>
    <rPh sb="12" eb="14">
      <t>Kakunin</t>
    </rPh>
    <rPh sb="15" eb="17">
      <t>Shashin</t>
    </rPh>
    <rPh sb="18" eb="20">
      <t>Satsuei</t>
    </rPh>
    <phoneticPr fontId="2"/>
  </si>
  <si>
    <t>◆ The case of "renewable energy generation + battery storage"</t>
    <phoneticPr fontId="2"/>
  </si>
  <si>
    <t>If the reverse power flow from the power plant to the grid exceeds the output control command value,</t>
    <phoneticPr fontId="2"/>
  </si>
  <si>
    <t>The PV PCS and battery PCS must be shut down within 5 minutes.</t>
    <rPh sb="1" eb="2">
      <t>B</t>
    </rPh>
    <rPh sb="2" eb="4">
      <t>Inai</t>
    </rPh>
    <rPh sb="11" eb="12">
      <t>Oyo</t>
    </rPh>
    <rPh sb="13" eb="16">
      <t>Chikudenchi</t>
    </rPh>
    <rPh sb="16" eb="17">
      <t>Yo</t>
    </rPh>
    <rPh sb="21" eb="23">
      <t>Teishi</t>
    </rPh>
    <phoneticPr fontId="2"/>
  </si>
  <si>
    <t>*If both a power server instruction and an aggregator instruction are received simultaneously, the power server instruction takes precedence.</t>
    <rPh sb="1" eb="3">
      <t>Power</t>
    </rPh>
    <rPh sb="7" eb="9">
      <t>Shiji</t>
    </rPh>
    <rPh sb="16" eb="18">
      <t>Shiji</t>
    </rPh>
    <rPh sb="19" eb="21">
      <t>Douji</t>
    </rPh>
    <rPh sb="22" eb="23">
      <t>high</t>
    </rPh>
    <rPh sb="25" eb="27">
      <t>By</t>
    </rPh>
    <rPh sb="28" eb="30">
      <t>Power</t>
    </rPh>
    <rPh sb="34" eb="36">
      <t>Shiji</t>
    </rPh>
    <rPh sb="37" eb="39">
      <t>Yusen</t>
    </rPh>
    <phoneticPr fontId="2"/>
  </si>
  <si>
    <t>- A discharge command (100% discharge instruction) simulating an aggregator command is sent from the cloud. (Univers)</t>
    <rPh sb="14" eb="16">
      <t>Hoden</t>
    </rPh>
    <rPh sb="23" eb="25">
      <t>Hoden</t>
    </rPh>
    <rPh sb="25" eb="27">
      <t>Shiji</t>
    </rPh>
    <phoneticPr fontId="2"/>
  </si>
  <si>
    <t>Control instructions input from a simulated power server [13:00-13:29] [10%]</t>
    <rPh sb="0" eb="2">
      <t>Giji</t>
    </rPh>
    <rPh sb="2" eb="4">
      <t>Power</t>
    </rPh>
    <rPh sb="10" eb="12">
      <t>Seigyo</t>
    </rPh>
    <rPh sb="12" eb="14">
      <t>Shiji</t>
    </rPh>
    <rPh sb="14" eb="16">
      <t>Input</t>
    </rPh>
    <phoneticPr fontId="2"/>
  </si>
  <si>
    <t>Sending a pseudo-aggregator command [100% discharge]</t>
    <rPh sb="0" eb="2">
      <t>Giji</t>
    </rPh>
    <rPh sb="8" eb="10">
      <t>Shirei</t>
    </rPh>
    <rPh sb="11" eb="13">
      <t>Soushin</t>
    </rPh>
    <rPh sb="19" eb="21">
      <t>Hoden</t>
    </rPh>
    <phoneticPr fontId="2"/>
  </si>
  <si>
    <t>Control instructions input from a simulated power server [14:00-14:29] [20%]</t>
    <rPh sb="0" eb="2">
      <t>Giji</t>
    </rPh>
    <rPh sb="2" eb="4">
      <t>Power</t>
    </rPh>
    <rPh sb="10" eb="12">
      <t>Seigyo</t>
    </rPh>
    <rPh sb="12" eb="14">
      <t>Shiji</t>
    </rPh>
    <rPh sb="14" eb="16">
      <t>Input</t>
    </rPh>
    <phoneticPr fontId="2"/>
  </si>
  <si>
    <t>Deactivate the pseudo-aggregator command.</t>
    <rPh sb="0" eb="2">
      <t>Giji</t>
    </rPh>
    <rPh sb="8" eb="10">
      <t>Shirei</t>
    </rPh>
    <rPh sb="11" eb="13">
      <t>Kaijo</t>
    </rPh>
    <phoneticPr fontId="2"/>
  </si>
  <si>
    <t>① [Technical Specifications (2) (3)] &lt;Optional for newly certified FIP and non-FIT from FY2024 onwards&gt; Guarantee that battery charging power is derived from renewable energy.</t>
    <phoneticPr fontId="2"/>
  </si>
  <si>
    <t>(2) If the power generated by renewable energy exceeds the power charged by the battery, the PCS for renewable energy and the PCS for battery storage will shut down within 5 minutes.</t>
    <phoneticPr fontId="2"/>
  </si>
  <si>
    <t>If forward power flow (grid → power generation equipment) is detected at the interconnection point while the battery is charging, the renewable energy PCS and the battery PCS will shut down within 5 minutes.</t>
    <phoneticPr fontId="2"/>
  </si>
  <si>
    <t>Estimated test time: 0.5 hours</t>
    <rPh sb="0" eb="2">
      <t>Meyasu</t>
    </rPh>
    <rPh sb="4" eb="6">
      <t>time</t>
    </rPh>
    <phoneticPr fontId="2"/>
  </si>
  <si>
    <t>The battery must be rechargeable (guideline: SOC 70% or less).</t>
    <rPh sb="0" eb="3">
      <t>Chikudenchi</t>
    </rPh>
    <rPh sb="4" eb="6">
      <t>Juden</t>
    </rPh>
    <rPh sb="6" eb="8">
      <t>Kanou</t>
    </rPh>
    <rPh sb="14" eb="16">
      <t>Meyasu</t>
    </rPh>
    <rPh sb="24" eb="26">
      <t>squid</t>
    </rPh>
    <phoneticPr fontId="2"/>
  </si>
  <si>
    <t>A manual 100% charge command is sent to Univers EMS to achieve the battery's charged state.</t>
    <phoneticPr fontId="2"/>
  </si>
  <si>
    <t>The power meter reading is adjusted to reflect electricity sold from the grid (by shifting more than 5% of the rated output towards charging).</t>
  </si>
  <si>
    <t>We confirmed that when the power generated by the PV PCS exceeds the power charged by the energy storage PCS, both the PV PCS and the energy storage PCS will shut down within 5 minutes.</t>
    <rPh sb="6" eb="10">
      <t>Power Generation Power</t>
    </rPh>
    <rPh sb="11" eb="13">
      <t>Chikuden</t>
    </rPh>
    <rPh sb="16" eb="20">
      <t>Charging power</t>
    </rPh>
    <rPh sb="21" eb="23">
      <t>Uwamawa</t>
    </rPh>
    <rPh sb="35" eb="37">
      <t>Chikuden</t>
    </rPh>
    <rPh sb="42" eb="43">
      <t>Hmm</t>
    </rPh>
    <rPh sb="43" eb="45">
      <t>Inai</t>
    </rPh>
    <rPh sb="46" eb="48">
      <t>Teishi</t>
    </rPh>
    <rPh sb="53" eb="55">
      <t>Kakunin</t>
    </rPh>
    <phoneticPr fontId="2"/>
  </si>
  <si>
    <t>Check that the battery's State of Charge (SOC) is below 70%.</t>
    <rPh sb="9" eb="11">
      <t>squid</t>
    </rPh>
    <phoneticPr fontId="2"/>
  </si>
  <si>
    <t>Discharge command input when SOC is 70% or higher.</t>
    <rPh sb="6" eb="8">
      <t>Ijo</t>
    </rPh>
    <rPh sb="9" eb="10">
      <t>Crested Ibis</t>
    </rPh>
    <rPh sb="11" eb="13">
      <t>Hoden</t>
    </rPh>
    <rPh sb="13" eb="15">
      <t>Shiji</t>
    </rPh>
    <rPh sb="15" eb="17">
      <t>Input</t>
    </rPh>
    <phoneticPr fontId="2"/>
  </si>
  <si>
    <t>Change the meter reading setting</t>
    <rPh sb="4" eb="5">
      <t>Yo</t>
    </rPh>
    <rPh sb="6" eb="7">
      <t>blood</t>
    </rPh>
    <rPh sb="7" eb="9">
      <t>Settei</t>
    </rPh>
    <rPh sb="10" eb="12">
      <t>Change</t>
    </rPh>
    <phoneticPr fontId="2"/>
  </si>
  <si>
    <t>Send a 100% charge command to the EMS from the cloud environment.</t>
  </si>
  <si>
    <t>Cancel the charging command from the cloud environment.</t>
    <rPh sb="14" eb="16">
      <t>Kaijo</t>
    </rPh>
    <phoneticPr fontId="2"/>
  </si>
  <si>
    <t>Reset meter reading settings to operational state</t>
    <rPh sb="4" eb="5">
      <t>Yo</t>
    </rPh>
    <rPh sb="6" eb="7">
      <t>blood</t>
    </rPh>
    <rPh sb="7" eb="9">
      <t>Settei</t>
    </rPh>
    <rPh sb="10" eb="14">
      <t>Unyoujoutai</t>
    </rPh>
    <rPh sb="15" eb="16">
      <t>Mod</t>
    </rPh>
    <phoneticPr fontId="2"/>
  </si>
  <si>
    <t>Confirmed startup of PV PCS and energy storage PCS.</t>
    <phoneticPr fontId="2"/>
  </si>
  <si>
    <t>If the reverse power flow from the power plant to the grid exceeds the contracted capacity,</t>
    <phoneticPr fontId="2"/>
  </si>
  <si>
    <t>To stop or suppress PV PCS and energy storage PCS with accuracy equivalent to RPR.</t>
    <rPh sb="3" eb="5">
      <t>Soutou</t>
    </rPh>
    <rPh sb="6" eb="8">
      <t>Sade</t>
    </rPh>
    <rPh sb="17" eb="18">
      <t>Oyo</t>
    </rPh>
    <rPh sb="19" eb="21">
      <t>Chikuden</t>
    </rPh>
    <rPh sb="25" eb="27">
      <t>Teishi</t>
    </rPh>
    <rPh sb="30" eb="32">
      <t>Preservation</t>
    </rPh>
    <phoneticPr fontId="2"/>
  </si>
  <si>
    <t>Accuracy equivalent to RPR (0.5–2.0 seconds)</t>
    <phoneticPr fontId="2"/>
  </si>
  <si>
    <t>The battery must be able to discharge (guideline: SOC 30% or higher).</t>
    <rPh sb="0" eb="3">
      <t>Chikudenchi</t>
    </rPh>
    <rPh sb="4" eb="6">
      <t>Hoden</t>
    </rPh>
    <rPh sb="6" eb="8">
      <t>Kanou</t>
    </rPh>
    <rPh sb="14" eb="16">
      <t>Meyasu</t>
    </rPh>
    <rPh sb="24" eb="26">
      <t>Ijo</t>
    </rPh>
    <phoneticPr fontId="2"/>
  </si>
  <si>
    <r>
      <t>・</t>
    </r>
    <r>
      <rPr>
        <sz val="11"/>
        <color rgb="FFFF0000"/>
        <rFont val="Meiryo UI"/>
        <family val="3"/>
        <charset val="128"/>
      </rPr>
      <t>EMS</t>
    </r>
    <r>
      <rPr>
        <strike/>
        <sz val="11"/>
        <color theme="1"/>
        <rFont val="Meiryo UI"/>
        <family val="3"/>
        <charset val="128"/>
      </rPr>
      <t>Battery manufacturers</t>
    </r>
    <r>
      <rPr>
        <sz val="11"/>
        <color theme="1"/>
        <rFont val="Meiryo UI"/>
        <family val="3"/>
        <charset val="128"/>
      </rPr>
      <t>Set the instruction to force a 100% discharge.</t>
    </r>
    <rPh sb="4" eb="7">
      <t>Chikudenchi</t>
    </rPh>
    <rPh sb="14" eb="16">
      <t>Kyosei</t>
    </rPh>
    <rPh sb="20" eb="22">
      <t>Hoden</t>
    </rPh>
    <rPh sb="22" eb="24">
      <t>Shiji</t>
    </rPh>
    <rPh sb="25" eb="27">
      <t>Settei</t>
    </rPh>
    <phoneticPr fontId="2"/>
  </si>
  <si>
    <t>*If this is not possible, set the 100% discharge command from Univers.</t>
    <rPh sb="1" eb="3">
      <t>Taiou</t>
    </rPh>
    <rPh sb="3" eb="5">
      <t>Fuka</t>
    </rPh>
    <rPh sb="6" eb="8">
      <t>By</t>
    </rPh>
    <rPh sb="22" eb="24">
      <t>Hoden</t>
    </rPh>
    <rPh sb="24" eb="26">
      <t>Shiji</t>
    </rPh>
    <rPh sb="27" eb="29">
      <t>Settei</t>
    </rPh>
    <phoneticPr fontId="2"/>
  </si>
  <si>
    <t>- Confirmed that the PV PCS power generation power + battery discharge power exceeded the rated value, causing the PV PCS and battery PCS to shut down with accuracy equivalent to RPR.</t>
    <rPh sb="7" eb="11">
      <t>Power Generation Power</t>
    </rPh>
    <rPh sb="12" eb="15">
      <t>Chikudenchi</t>
    </rPh>
    <rPh sb="15" eb="17">
      <t>Hoden</t>
    </rPh>
    <rPh sb="17" eb="19">
      <t>Power</t>
    </rPh>
    <rPh sb="21" eb="23">
      <t>Teikaku</t>
    </rPh>
    <rPh sb="33" eb="35">
      <t>Soutou</t>
    </rPh>
    <rPh sb="36" eb="38">
      <t>Sade</t>
    </rPh>
    <rPh sb="47" eb="49">
      <t>Chikuden</t>
    </rPh>
    <rPh sb="53" eb="55">
      <t>Teishi</t>
    </rPh>
    <rPh sb="60" eb="62">
      <t>Kakunin</t>
    </rPh>
    <phoneticPr fontId="2"/>
  </si>
  <si>
    <t>- Stop all PV PCS units.</t>
    <rPh sb="8" eb="9">
      <t>Zen</t>
    </rPh>
    <rPh sb="9" eb="10">
      <t>Thailand</t>
    </rPh>
    <rPh sb="11" eb="13">
      <t>Teishi</t>
    </rPh>
    <phoneticPr fontId="2"/>
  </si>
  <si>
    <t>- The battery manufacturer will set a forced 90% discharge instruction.</t>
    <rPh sb="1" eb="4">
      <t>Chikudenchi</t>
    </rPh>
    <rPh sb="11" eb="13">
      <t>Kyosei</t>
    </rPh>
    <rPh sb="16" eb="18">
      <t>Hoden</t>
    </rPh>
    <rPh sb="18" eb="20">
      <t>Shiji</t>
    </rPh>
    <rPh sb="21" eb="23">
      <t>Settei</t>
    </rPh>
    <phoneticPr fontId="2"/>
  </si>
  <si>
    <t>Start PV PCS.</t>
    <rPh sb="8" eb="10">
      <t>Kidou</t>
    </rPh>
    <phoneticPr fontId="2"/>
  </si>
  <si>
    <t>It was confirmed that the PV PCS power generation power + battery discharge power exceeded the rated value, causing the PV PCS and battery PCS to shut down with accuracy equivalent to RPR.</t>
    <phoneticPr fontId="2"/>
  </si>
  <si>
    <t>Confirm that the battery's State of Charge (SOC) is 30% or higher.</t>
    <rPh sb="9" eb="11">
      <t>Ijo</t>
    </rPh>
    <phoneticPr fontId="2"/>
  </si>
  <si>
    <t>When SOC is below 30%, input charging command.</t>
    <rPh sb="6" eb="8">
      <t>squid</t>
    </rPh>
    <rPh sb="9" eb="10">
      <t>Crested Ibis</t>
    </rPh>
    <rPh sb="11" eb="13">
      <t>Juden</t>
    </rPh>
    <rPh sb="13" eb="15">
      <t>Shiji</t>
    </rPh>
    <rPh sb="15" eb="17">
      <t>Input</t>
    </rPh>
    <phoneticPr fontId="2"/>
  </si>
  <si>
    <t>Set the command to 100% forced discharge.</t>
    <rPh sb="4" eb="6">
      <t>Kyosei</t>
    </rPh>
    <rPh sb="6" eb="8">
      <t>Hoden</t>
    </rPh>
    <rPh sb="8" eb="10">
      <t>Shiji</t>
    </rPh>
    <rPh sb="11" eb="13">
      <t>Settei</t>
    </rPh>
    <phoneticPr fontId="2"/>
  </si>
  <si>
    <t>If the battery manufacturer cannot provide support, set the instruction to 100% discharge.</t>
    <rPh sb="0" eb="3">
      <t>Chikudenchi</t>
    </rPh>
    <rPh sb="9" eb="11">
      <t>Taiou</t>
    </rPh>
    <rPh sb="11" eb="13">
      <t>Fuka</t>
    </rPh>
    <rPh sb="14" eb="16">
      <t>By</t>
    </rPh>
    <rPh sb="22" eb="24">
      <t>Hoden</t>
    </rPh>
    <rPh sb="24" eb="26">
      <t>Shiji</t>
    </rPh>
    <rPh sb="27" eb="29">
      <t>Settei</t>
    </rPh>
    <phoneticPr fontId="2"/>
  </si>
  <si>
    <t>Confirmed that the PV PCS and energy storage PCS have stopped down (*1)</t>
    <rPh sb="7" eb="9">
      <t>Chikuden</t>
    </rPh>
    <rPh sb="13" eb="15">
      <t>Teishi</t>
    </rPh>
    <rPh sb="20" eb="22">
      <t>Kakunin</t>
    </rPh>
    <phoneticPr fontId="2"/>
  </si>
  <si>
    <t>Cancel the forced discharge instruction.</t>
    <rPh sb="0" eb="2">
      <t>Kyosei</t>
    </rPh>
    <rPh sb="2" eb="4">
      <t>Hoden</t>
    </rPh>
    <rPh sb="4" eb="6">
      <t>Shiji</t>
    </rPh>
    <rPh sb="7" eb="9">
      <t>Kaijo</t>
    </rPh>
    <phoneticPr fontId="2"/>
  </si>
  <si>
    <t>If a discharge command is issued in No. 2, the discharge command will be canceled.</t>
    <rPh sb="4" eb="8">
      <t>Hodenshiji</t>
    </rPh>
    <rPh sb="11" eb="13">
      <t>By</t>
    </rPh>
    <rPh sb="15" eb="17">
      <t>Hoden</t>
    </rPh>
    <rPh sb="17" eb="19">
      <t>Shiji</t>
    </rPh>
    <rPh sb="20" eb="22">
      <t>Kaijo</t>
    </rPh>
    <phoneticPr fontId="2"/>
  </si>
  <si>
    <t>All PV PCS units have been shut down.</t>
    <rPh sb="7" eb="9">
      <t>Zendai</t>
    </rPh>
    <rPh sb="9" eb="11">
      <t>Teishi</t>
    </rPh>
    <phoneticPr fontId="2"/>
  </si>
  <si>
    <t>Set the command to force discharge to 90%.</t>
    <rPh sb="3" eb="5">
      <t>Kyosei</t>
    </rPh>
    <rPh sb="5" eb="7">
      <t>Hoden</t>
    </rPh>
    <rPh sb="7" eb="9">
      <t>Shiji</t>
    </rPh>
    <rPh sb="10" eb="12">
      <t>Settei</t>
    </rPh>
    <phoneticPr fontId="2"/>
  </si>
  <si>
    <t>If the battery manufacturer cannot provide support, set the discharge instruction to 90%.</t>
    <rPh sb="0" eb="3">
      <t>Chikudenchi</t>
    </rPh>
    <rPh sb="9" eb="11">
      <t>Taiou</t>
    </rPh>
    <rPh sb="11" eb="13">
      <t>Fuka</t>
    </rPh>
    <rPh sb="14" eb="16">
      <t>By</t>
    </rPh>
    <rPh sb="21" eb="23">
      <t>Hoden</t>
    </rPh>
    <rPh sb="23" eb="25">
      <t>Shiji</t>
    </rPh>
    <rPh sb="26" eb="28">
      <t>Settei</t>
    </rPh>
    <phoneticPr fontId="2"/>
  </si>
  <si>
    <t>Start PV PCS</t>
    <rPh sb="7" eb="9">
      <t>Kidou</t>
    </rPh>
    <phoneticPr fontId="2"/>
  </si>
  <si>
    <t>If a discharge command is issued in No. 7, the discharge command will be canceled.</t>
    <rPh sb="4" eb="8">
      <t>Hodenshiji</t>
    </rPh>
    <rPh sb="11" eb="13">
      <t>By</t>
    </rPh>
    <rPh sb="15" eb="17">
      <t>Hoden</t>
    </rPh>
    <rPh sb="17" eb="19">
      <t>Shiji</t>
    </rPh>
    <rPh sb="20" eb="22">
      <t>Kaijo</t>
    </rPh>
    <phoneticPr fontId="2"/>
  </si>
  <si>
    <t>Check with an oscilloscope.</t>
    <rPh sb="8" eb="10">
      <t>Kakunin</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</si>
</sst>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charset val="128"/>
      <scheme val="minor"/>
    </font>
    <font>
      <sz val="6"/>
      <name val="Calibri"/>
      <family val="3"/>
      <charset val="128"/>
      <scheme val="minor"/>
    </font>
    <font>
      <b/>
      <sz val="11"/>
      <color theme="1"/>
      <name val="Meiryo UI"/>
      <family val="3"/>
      <charset val="128"/>
    </font>
    <font>
      <sz val="11"/>
      <color theme="1"/>
      <name val="Meiryo UI"/>
      <family val="3"/>
      <charset val="128"/>
    </font>
    <font>
      <sz val="14"/>
      <color theme="1"/>
      <name val="Meiryo UI"/>
      <family val="3"/>
      <charset val="128"/>
    </font>
    <font>
      <sz val="12"/>
      <color theme="1"/>
      <name val="Meiryo UI"/>
      <family val="3"/>
      <charset val="128"/>
    </font>
    <font>
      <sz val="10"/>
      <color theme="1"/>
      <name val="Meiryo UI"/>
      <family val="3"/>
      <charset val="128"/>
    </font>
    <font>
      <sz val="11"/>
      <color rgb="FFFF0000"/>
      <name val="Meiryo UI"/>
      <family val="3"/>
      <charset val="128"/>
    </font>
    <font>
      <b/>
      <sz val="20"/>
      <color theme="1"/>
      <name val="Calibri"/>
      <family val="3"/>
      <charset val="128"/>
      <scheme val="minor"/>
    </font>
    <font>
      <sz val="6"/>
      <name val="Calibri"/>
      <family val="2"/>
      <charset val="128"/>
      <scheme val="minor"/>
    </font>
    <font>
      <sz val="11"/>
      <name val="Calibri"/>
      <family val="2"/>
      <charset val="128"/>
      <scheme val="minor"/>
    </font>
    <font>
      <sz val="11"/>
      <color theme="1"/>
      <name val="Calibri"/>
      <family val="3"/>
      <charset val="128"/>
      <scheme val="minor"/>
    </font>
    <font>
      <sz val="11"/>
      <name val="Calibri"/>
      <family val="3"/>
      <charset val="128"/>
      <scheme val="minor"/>
    </font>
    <font>
      <b/>
      <sz val="11"/>
      <color rgb="FF0070C0"/>
      <name val="Calibri"/>
      <family val="3"/>
      <charset val="128"/>
      <scheme val="minor"/>
    </font>
    <font>
      <b/>
      <sz val="11"/>
      <color rgb="FFFF0000"/>
      <name val="Calibri"/>
      <family val="3"/>
      <charset val="128"/>
      <scheme val="minor"/>
    </font>
    <font>
      <b/>
      <sz val="11"/>
      <name val="Calibri"/>
      <family val="3"/>
      <charset val="128"/>
      <scheme val="minor"/>
    </font>
    <font>
      <sz val="11"/>
      <color rgb="FFFF0000"/>
      <name val="Calibri"/>
      <family val="3"/>
      <charset val="128"/>
      <scheme val="minor"/>
    </font>
    <font>
      <b/>
      <sz val="11"/>
      <color rgb="FFFF0000"/>
      <name val="Meiryo UI"/>
      <family val="3"/>
      <charset val="128"/>
    </font>
    <font>
      <b/>
      <sz val="11"/>
      <color rgb="FF0070C0"/>
      <name val="Meiryo UI"/>
      <family val="3"/>
      <charset val="128"/>
    </font>
    <font>
      <sz val="11"/>
      <color theme="0"/>
      <name val="Calibri"/>
      <family val="3"/>
      <charset val="128"/>
      <scheme val="minor"/>
    </font>
    <font>
      <sz val="11"/>
      <name val="Meiryo UI"/>
      <family val="3"/>
      <charset val="128"/>
    </font>
    <font>
      <strike/>
      <sz val="11"/>
      <color theme="1"/>
      <name val="Meiryo UI"/>
      <family val="3"/>
      <charset val="128"/>
    </font>
    <font>
      <b/>
      <sz val="11"/>
      <color theme="4" tint="-0.249977111117893"/>
      <name val="Meiryo UI"/>
      <family val="3"/>
      <charset val="128"/>
    </font>
    <font>
      <sz val="11"/>
      <color rgb="FFFF0000"/>
      <name val="Calibri"/>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rgb="FFCCFFFF"/>
        <bgColor indexed="64"/>
      </patternFill>
    </fill>
    <fill>
      <patternFill patternType="solid">
        <fgColor rgb="FFFFCCFF"/>
        <bgColor indexed="64"/>
      </patternFill>
    </fill>
    <fill>
      <patternFill patternType="solid">
        <fgColor rgb="FFCCFFCC"/>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2">
    <xf numFmtId="0" fontId="0" fillId="0" borderId="0"/>
    <xf numFmtId="0" fontId="1" fillId="0" borderId="0">
      <alignment vertical="center"/>
    </xf>
  </cellStyleXfs>
  <cellXfs count="135">
    <xf numFmtId="0" fontId="0" fillId="0" borderId="0" xfId="0"/>
    <xf numFmtId="0" fontId="3" fillId="0" borderId="0" xfId="0" applyFont="1" applyAlignment="1">
      <alignment vertical="center"/>
    </xf>
    <xf numFmtId="0" fontId="4" fillId="0" borderId="0" xfId="0" applyFont="1"/>
    <xf numFmtId="0" fontId="4" fillId="0" borderId="0" xfId="0" applyFont="1" applyAlignment="1">
      <alignment vertical="center"/>
    </xf>
    <xf numFmtId="0" fontId="4" fillId="0" borderId="0" xfId="0" applyFont="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vertical="center"/>
    </xf>
    <xf numFmtId="0" fontId="4" fillId="4" borderId="1" xfId="0" applyFont="1" applyFill="1" applyBorder="1" applyAlignment="1">
      <alignment horizontal="center" vertical="center"/>
    </xf>
    <xf numFmtId="9" fontId="4" fillId="4" borderId="1" xfId="0" applyNumberFormat="1" applyFont="1" applyFill="1" applyBorder="1" applyAlignment="1">
      <alignment horizontal="center" vertical="center"/>
    </xf>
    <xf numFmtId="9" fontId="4" fillId="5"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0" borderId="0" xfId="0" applyFont="1" applyAlignment="1">
      <alignment vertical="center"/>
    </xf>
    <xf numFmtId="0" fontId="4" fillId="4" borderId="1" xfId="0" applyFont="1" applyFill="1" applyBorder="1" applyAlignment="1">
      <alignment vertical="center"/>
    </xf>
    <xf numFmtId="0" fontId="4" fillId="3" borderId="1" xfId="0" applyFont="1" applyFill="1" applyBorder="1" applyAlignment="1">
      <alignment vertical="center"/>
    </xf>
    <xf numFmtId="0" fontId="4" fillId="5" borderId="1" xfId="0" applyFont="1" applyFill="1" applyBorder="1" applyAlignment="1">
      <alignment vertical="center"/>
    </xf>
    <xf numFmtId="0" fontId="4" fillId="0" borderId="6" xfId="0" applyFont="1" applyBorder="1" applyAlignment="1">
      <alignment horizontal="left" vertical="center"/>
    </xf>
    <xf numFmtId="0" fontId="4" fillId="0" borderId="6" xfId="0" applyFont="1" applyBorder="1" applyAlignment="1">
      <alignment vertical="center"/>
    </xf>
    <xf numFmtId="0" fontId="4" fillId="2" borderId="10" xfId="0" applyFont="1" applyFill="1" applyBorder="1" applyAlignment="1">
      <alignment horizontal="center" vertical="center"/>
    </xf>
    <xf numFmtId="0" fontId="4" fillId="2" borderId="11" xfId="0" applyFont="1" applyFill="1" applyBorder="1" applyAlignment="1">
      <alignment horizontal="left" vertical="center"/>
    </xf>
    <xf numFmtId="0" fontId="4" fillId="2" borderId="12" xfId="0" applyFont="1" applyFill="1" applyBorder="1" applyAlignment="1">
      <alignment horizontal="center" vertical="center"/>
    </xf>
    <xf numFmtId="0" fontId="4" fillId="0" borderId="2" xfId="0" applyFont="1" applyBorder="1" applyAlignment="1">
      <alignment horizontal="lef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vertical="center"/>
    </xf>
    <xf numFmtId="0" fontId="4" fillId="0" borderId="9" xfId="0" applyFont="1" applyBorder="1" applyAlignment="1">
      <alignment vertical="center"/>
    </xf>
    <xf numFmtId="0" fontId="4" fillId="2" borderId="11" xfId="0" applyFont="1" applyFill="1" applyBorder="1" applyAlignment="1">
      <alignment vertical="center"/>
    </xf>
    <xf numFmtId="0" fontId="4" fillId="2" borderId="12" xfId="0" applyFont="1" applyFill="1" applyBorder="1" applyAlignment="1">
      <alignment vertical="center"/>
    </xf>
    <xf numFmtId="0" fontId="4" fillId="2" borderId="11" xfId="0" applyFont="1" applyFill="1" applyBorder="1" applyAlignment="1">
      <alignment horizontal="center" vertical="center"/>
    </xf>
    <xf numFmtId="0" fontId="4" fillId="0" borderId="7" xfId="0" applyFont="1" applyBorder="1" applyAlignment="1">
      <alignment vertical="center"/>
    </xf>
    <xf numFmtId="0" fontId="4" fillId="6" borderId="1" xfId="0" applyFont="1" applyFill="1" applyBorder="1" applyAlignment="1">
      <alignment vertical="center"/>
    </xf>
    <xf numFmtId="0" fontId="4" fillId="0" borderId="1" xfId="0" applyFont="1" applyBorder="1" applyAlignment="1">
      <alignment vertical="center" wrapText="1"/>
    </xf>
    <xf numFmtId="0" fontId="4" fillId="0" borderId="4" xfId="0" applyFont="1" applyBorder="1" applyAlignment="1">
      <alignment horizontal="left" vertical="center"/>
    </xf>
    <xf numFmtId="0" fontId="4" fillId="0" borderId="9" xfId="0" applyFont="1" applyBorder="1" applyAlignment="1">
      <alignment horizontal="left" vertical="center"/>
    </xf>
    <xf numFmtId="20" fontId="4" fillId="0" borderId="1" xfId="0" applyNumberFormat="1" applyFont="1" applyBorder="1" applyAlignment="1">
      <alignment horizontal="center" vertical="center"/>
    </xf>
    <xf numFmtId="0" fontId="4" fillId="0" borderId="11" xfId="0" applyFont="1" applyBorder="1" applyAlignment="1">
      <alignment vertical="center"/>
    </xf>
    <xf numFmtId="0" fontId="4" fillId="0" borderId="8" xfId="0" applyFont="1" applyBorder="1" applyAlignment="1">
      <alignment horizontal="center" vertical="center"/>
    </xf>
    <xf numFmtId="0" fontId="6" fillId="0" borderId="0" xfId="0" applyFont="1" applyAlignment="1">
      <alignment vertical="center"/>
    </xf>
    <xf numFmtId="9" fontId="4" fillId="0" borderId="1" xfId="0" applyNumberFormat="1" applyFont="1" applyBorder="1" applyAlignment="1">
      <alignment horizontal="center" vertical="center"/>
    </xf>
    <xf numFmtId="0" fontId="0" fillId="0" borderId="0" xfId="0" applyAlignment="1">
      <alignment vertical="center"/>
    </xf>
    <xf numFmtId="20" fontId="0" fillId="0" borderId="0" xfId="0" applyNumberFormat="1" applyAlignment="1">
      <alignment vertical="center"/>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0" borderId="10" xfId="0" applyFont="1" applyBorder="1" applyAlignment="1">
      <alignment horizontal="center" vertical="center"/>
    </xf>
    <xf numFmtId="0" fontId="4" fillId="0" borderId="12" xfId="0" applyFont="1" applyBorder="1" applyAlignment="1">
      <alignment horizontal="center" vertical="center"/>
    </xf>
    <xf numFmtId="9" fontId="7" fillId="4" borderId="1" xfId="0" applyNumberFormat="1" applyFont="1" applyFill="1" applyBorder="1" applyAlignment="1">
      <alignment horizontal="center" vertical="center"/>
    </xf>
    <xf numFmtId="0" fontId="8" fillId="0" borderId="7" xfId="0" applyFont="1" applyBorder="1" applyAlignment="1">
      <alignment horizontal="left" vertical="center"/>
    </xf>
    <xf numFmtId="9" fontId="4" fillId="3" borderId="1" xfId="0" applyNumberFormat="1" applyFont="1" applyFill="1" applyBorder="1" applyAlignment="1">
      <alignment horizontal="center" vertical="center"/>
    </xf>
    <xf numFmtId="0" fontId="1" fillId="0" borderId="0" xfId="1">
      <alignment vertical="center"/>
    </xf>
    <xf numFmtId="0" fontId="9" fillId="0" borderId="0" xfId="1" applyFont="1">
      <alignment vertical="center"/>
    </xf>
    <xf numFmtId="14" fontId="11" fillId="0" borderId="0" xfId="1" applyNumberFormat="1" applyFont="1">
      <alignment vertical="center"/>
    </xf>
    <xf numFmtId="0" fontId="12" fillId="7" borderId="1" xfId="1" applyFont="1" applyFill="1" applyBorder="1" applyAlignment="1">
      <alignment vertical="center" wrapText="1"/>
    </xf>
    <xf numFmtId="0" fontId="12" fillId="7" borderId="1" xfId="1" applyFont="1" applyFill="1" applyBorder="1">
      <alignment vertical="center"/>
    </xf>
    <xf numFmtId="0" fontId="13" fillId="7" borderId="1" xfId="1" applyFont="1" applyFill="1" applyBorder="1">
      <alignment vertical="center"/>
    </xf>
    <xf numFmtId="0" fontId="12" fillId="8" borderId="1" xfId="1" applyFont="1" applyFill="1" applyBorder="1">
      <alignment vertical="center"/>
    </xf>
    <xf numFmtId="0" fontId="12" fillId="0" borderId="1" xfId="1" applyFont="1" applyBorder="1" applyAlignment="1">
      <alignment vertical="top" wrapText="1"/>
    </xf>
    <xf numFmtId="0" fontId="12" fillId="0" borderId="1" xfId="1" applyFont="1" applyBorder="1" applyAlignment="1">
      <alignment horizontal="left" vertical="top" wrapText="1"/>
    </xf>
    <xf numFmtId="0" fontId="14" fillId="0" borderId="1" xfId="1" applyFont="1" applyBorder="1" applyAlignment="1">
      <alignment horizontal="left" vertical="top" wrapText="1"/>
    </xf>
    <xf numFmtId="0" fontId="16" fillId="0" borderId="1" xfId="1" applyFont="1" applyBorder="1" applyAlignment="1">
      <alignment horizontal="left" vertical="top" wrapText="1"/>
    </xf>
    <xf numFmtId="0" fontId="15" fillId="0" borderId="1" xfId="1" applyFont="1" applyBorder="1" applyAlignment="1">
      <alignment vertical="top" wrapText="1"/>
    </xf>
    <xf numFmtId="0" fontId="12" fillId="9" borderId="1" xfId="1" applyFont="1" applyFill="1" applyBorder="1">
      <alignment vertical="center"/>
    </xf>
    <xf numFmtId="0" fontId="12" fillId="0" borderId="10" xfId="1" applyFont="1" applyBorder="1" applyAlignment="1">
      <alignment vertical="top" wrapText="1"/>
    </xf>
    <xf numFmtId="0" fontId="18" fillId="0" borderId="6" xfId="1" applyFont="1" applyBorder="1" applyAlignment="1">
      <alignment vertical="top" wrapText="1"/>
    </xf>
    <xf numFmtId="0" fontId="19" fillId="0" borderId="6" xfId="1" applyFont="1" applyBorder="1" applyAlignment="1">
      <alignment vertical="top" wrapText="1"/>
    </xf>
    <xf numFmtId="0" fontId="19" fillId="0" borderId="1" xfId="1" applyFont="1" applyBorder="1" applyAlignment="1">
      <alignment vertical="top" wrapText="1"/>
    </xf>
    <xf numFmtId="0" fontId="13" fillId="0" borderId="1" xfId="1" applyFont="1" applyBorder="1" applyAlignment="1">
      <alignment vertical="top"/>
    </xf>
    <xf numFmtId="0" fontId="12" fillId="6" borderId="1" xfId="1" applyFont="1" applyFill="1" applyBorder="1" applyAlignment="1">
      <alignment horizontal="left" vertical="top" wrapText="1"/>
    </xf>
    <xf numFmtId="0" fontId="14" fillId="6" borderId="1" xfId="1" applyFont="1" applyFill="1" applyBorder="1" applyAlignment="1">
      <alignment horizontal="left" vertical="top" wrapText="1"/>
    </xf>
    <xf numFmtId="0" fontId="16" fillId="6" borderId="1" xfId="1" applyFont="1" applyFill="1" applyBorder="1" applyAlignment="1">
      <alignment horizontal="left" vertical="center" wrapText="1"/>
    </xf>
    <xf numFmtId="0" fontId="20" fillId="0" borderId="1" xfId="1" applyFont="1" applyBorder="1" applyAlignment="1">
      <alignment horizontal="left" vertical="top" wrapText="1"/>
    </xf>
    <xf numFmtId="0" fontId="12" fillId="0" borderId="0" xfId="1" applyFont="1">
      <alignment vertical="center"/>
    </xf>
    <xf numFmtId="0" fontId="13" fillId="0" borderId="0" xfId="1" applyFont="1">
      <alignment vertical="center"/>
    </xf>
    <xf numFmtId="0" fontId="12" fillId="0" borderId="0" xfId="1" applyFont="1" applyAlignment="1">
      <alignment horizontal="right" vertical="center" wrapText="1"/>
    </xf>
    <xf numFmtId="0" fontId="12" fillId="0" borderId="0" xfId="1" applyFont="1" applyAlignment="1">
      <alignment vertical="center" wrapText="1"/>
    </xf>
    <xf numFmtId="0" fontId="17" fillId="0" borderId="0" xfId="1" applyFont="1">
      <alignment vertical="center"/>
    </xf>
    <xf numFmtId="0" fontId="1" fillId="0" borderId="0" xfId="1" applyAlignment="1">
      <alignment vertical="center" wrapText="1"/>
    </xf>
    <xf numFmtId="0" fontId="16" fillId="0" borderId="10" xfId="1" applyFont="1" applyBorder="1" applyAlignment="1">
      <alignment horizontal="left" vertical="top" wrapText="1"/>
    </xf>
    <xf numFmtId="0" fontId="8" fillId="0" borderId="0" xfId="0" applyFont="1" applyAlignment="1">
      <alignment vertical="center"/>
    </xf>
    <xf numFmtId="0" fontId="21" fillId="10" borderId="1" xfId="0" applyFont="1" applyFill="1" applyBorder="1" applyAlignment="1">
      <alignment vertical="center" wrapText="1"/>
    </xf>
    <xf numFmtId="0" fontId="21" fillId="0" borderId="0" xfId="0" applyFont="1" applyAlignment="1">
      <alignment vertical="center"/>
    </xf>
    <xf numFmtId="0" fontId="4" fillId="0" borderId="16" xfId="0" applyFont="1" applyBorder="1" applyAlignment="1">
      <alignment vertical="center"/>
    </xf>
    <xf numFmtId="0" fontId="23" fillId="0" borderId="1" xfId="1" applyFont="1" applyBorder="1" applyAlignment="1">
      <alignment vertical="top" wrapText="1"/>
    </xf>
    <xf numFmtId="20" fontId="8" fillId="0" borderId="1" xfId="0" applyNumberFormat="1" applyFont="1" applyBorder="1" applyAlignment="1">
      <alignment horizontal="center" vertical="center"/>
    </xf>
    <xf numFmtId="20" fontId="4" fillId="0" borderId="0" xfId="0" applyNumberFormat="1" applyFont="1" applyAlignment="1">
      <alignment vertical="center"/>
    </xf>
    <xf numFmtId="0" fontId="4" fillId="0" borderId="11" xfId="0" applyFont="1" applyBorder="1" applyAlignment="1">
      <alignment horizontal="center" vertical="center"/>
    </xf>
    <xf numFmtId="14" fontId="4" fillId="6" borderId="1" xfId="0" applyNumberFormat="1" applyFont="1" applyFill="1" applyBorder="1" applyAlignment="1">
      <alignment horizontal="left" vertical="center"/>
    </xf>
    <xf numFmtId="0" fontId="4" fillId="0" borderId="0" xfId="0" applyFont="1" applyAlignment="1">
      <alignment horizontal="left" vertical="center"/>
    </xf>
    <xf numFmtId="0" fontId="4" fillId="0" borderId="8" xfId="0" applyFont="1" applyBorder="1" applyAlignment="1">
      <alignment horizontal="left" vertical="center"/>
    </xf>
    <xf numFmtId="0" fontId="4" fillId="0" borderId="3" xfId="0" applyFont="1" applyBorder="1" applyAlignment="1">
      <alignment horizontal="left" vertical="center"/>
    </xf>
    <xf numFmtId="14" fontId="4" fillId="0" borderId="1" xfId="0" applyNumberFormat="1" applyFont="1" applyBorder="1" applyAlignment="1">
      <alignment horizontal="center" vertical="center"/>
    </xf>
    <xf numFmtId="0" fontId="24" fillId="0" borderId="0" xfId="0" applyFont="1" applyAlignment="1">
      <alignment vertical="center"/>
    </xf>
    <xf numFmtId="0" fontId="17" fillId="0" borderId="0" xfId="0" applyFont="1" applyAlignment="1">
      <alignment vertical="center"/>
    </xf>
    <xf numFmtId="0" fontId="4" fillId="6" borderId="1" xfId="0" applyFont="1" applyFill="1" applyBorder="1" applyAlignment="1">
      <alignment vertical="center" wrapText="1"/>
    </xf>
    <xf numFmtId="20" fontId="8" fillId="0" borderId="10" xfId="0" applyNumberFormat="1" applyFont="1" applyBorder="1" applyAlignment="1">
      <alignment horizontal="center" vertical="center"/>
    </xf>
    <xf numFmtId="0" fontId="4" fillId="0" borderId="10" xfId="0" applyFont="1" applyBorder="1" applyAlignment="1">
      <alignment vertical="center" wrapText="1"/>
    </xf>
    <xf numFmtId="0" fontId="4" fillId="0" borderId="10" xfId="0" applyFont="1" applyBorder="1" applyAlignment="1">
      <alignment vertical="center"/>
    </xf>
    <xf numFmtId="14" fontId="4" fillId="6" borderId="10" xfId="0" applyNumberFormat="1" applyFont="1" applyFill="1" applyBorder="1" applyAlignment="1">
      <alignment horizontal="left" vertical="center"/>
    </xf>
    <xf numFmtId="0" fontId="4" fillId="6" borderId="10" xfId="0" applyFont="1" applyFill="1" applyBorder="1" applyAlignment="1">
      <alignment vertical="center"/>
    </xf>
    <xf numFmtId="0" fontId="4" fillId="0" borderId="12" xfId="0" applyFont="1" applyBorder="1" applyAlignment="1">
      <alignment vertical="center" wrapText="1"/>
    </xf>
    <xf numFmtId="0" fontId="4" fillId="0" borderId="12" xfId="0" applyFont="1" applyBorder="1" applyAlignment="1">
      <alignment vertical="center"/>
    </xf>
    <xf numFmtId="14" fontId="4" fillId="6" borderId="12" xfId="0" applyNumberFormat="1" applyFont="1" applyFill="1" applyBorder="1" applyAlignment="1">
      <alignment horizontal="left" vertical="center"/>
    </xf>
    <xf numFmtId="0" fontId="4" fillId="6" borderId="12" xfId="0" applyFont="1" applyFill="1" applyBorder="1" applyAlignment="1">
      <alignment vertical="center"/>
    </xf>
    <xf numFmtId="20" fontId="21" fillId="0" borderId="12" xfId="0" applyNumberFormat="1" applyFont="1" applyBorder="1" applyAlignment="1">
      <alignment horizontal="center" vertical="center"/>
    </xf>
    <xf numFmtId="20" fontId="21" fillId="0" borderId="1" xfId="0" applyNumberFormat="1"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2" borderId="1"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13" xfId="0" applyFont="1" applyFill="1" applyBorder="1" applyAlignment="1">
      <alignment horizontal="center" vertical="center"/>
    </xf>
    <xf numFmtId="0" fontId="12" fillId="9" borderId="10" xfId="1" applyFont="1" applyFill="1" applyBorder="1" applyAlignment="1">
      <alignment horizontal="center" vertical="center"/>
    </xf>
    <xf numFmtId="0" fontId="12" fillId="9" borderId="12" xfId="1" applyFont="1" applyFill="1" applyBorder="1" applyAlignment="1">
      <alignment horizontal="center" vertical="center"/>
    </xf>
    <xf numFmtId="0" fontId="12" fillId="0" borderId="10" xfId="1" applyFont="1" applyBorder="1" applyAlignment="1">
      <alignment horizontal="center" vertical="top" wrapText="1"/>
    </xf>
    <xf numFmtId="0" fontId="12" fillId="0" borderId="12" xfId="1" applyFont="1" applyBorder="1" applyAlignment="1">
      <alignment horizontal="center" vertical="top"/>
    </xf>
    <xf numFmtId="0" fontId="12" fillId="0" borderId="10" xfId="1" applyFont="1" applyBorder="1" applyAlignment="1">
      <alignment horizontal="left" vertical="top" wrapText="1"/>
    </xf>
    <xf numFmtId="0" fontId="12" fillId="0" borderId="12" xfId="1" applyFont="1" applyBorder="1" applyAlignment="1">
      <alignment horizontal="left" vertical="top" wrapText="1"/>
    </xf>
    <xf numFmtId="0" fontId="13" fillId="0" borderId="10" xfId="1" applyFont="1" applyBorder="1" applyAlignment="1">
      <alignment horizontal="center" vertical="top"/>
    </xf>
    <xf numFmtId="0" fontId="13" fillId="0" borderId="12" xfId="1" applyFont="1" applyBorder="1" applyAlignment="1">
      <alignment horizontal="center" vertical="top"/>
    </xf>
    <xf numFmtId="0" fontId="15" fillId="0" borderId="10" xfId="1" applyFont="1" applyBorder="1" applyAlignment="1">
      <alignment horizontal="left" vertical="top" wrapText="1"/>
    </xf>
    <xf numFmtId="0" fontId="15" fillId="0" borderId="12" xfId="1" applyFont="1" applyBorder="1" applyAlignment="1">
      <alignment horizontal="left" vertical="top" wrapText="1"/>
    </xf>
    <xf numFmtId="0" fontId="16" fillId="0" borderId="10" xfId="1" applyFont="1" applyBorder="1" applyAlignment="1">
      <alignment horizontal="center" vertical="top" wrapText="1"/>
    </xf>
    <xf numFmtId="0" fontId="16" fillId="0" borderId="12" xfId="1" applyFont="1" applyBorder="1" applyAlignment="1">
      <alignment horizontal="center" vertical="top" wrapText="1"/>
    </xf>
    <xf numFmtId="0" fontId="4" fillId="0" borderId="1" xfId="0" applyFont="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6" borderId="1" xfId="0" applyFont="1" applyFill="1" applyBorder="1" applyAlignment="1">
      <alignment vertical="center"/>
    </xf>
    <xf numFmtId="0" fontId="4" fillId="0" borderId="1" xfId="0" applyFont="1" applyBorder="1" applyAlignment="1">
      <alignment vertical="center"/>
    </xf>
    <xf numFmtId="0" fontId="0" fillId="0" borderId="0" xfId="0" applyAlignment="1"/>
  </cellXfs>
  <cellStyles count="2">
    <cellStyle name="Normal" xfId="0" builtinId="0"/>
    <cellStyle name="標準 2" xfId="1" xr:uid="{00000000-0005-0000-0000-000001000000}"/>
  </cellStyles>
  <dxfs count="0"/>
  <tableStyles count="0" defaultTableStyle="TableStyleMedium2" defaultPivotStyle="PivotStyleLight16"/>
  <colors>
    <mruColors>
      <color rgb="FFFFCCFF"/>
      <color rgb="FFCCFFFF"/>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14</xdr:col>
      <xdr:colOff>125507</xdr:colOff>
      <xdr:row>8</xdr:row>
      <xdr:rowOff>197225</xdr:rowOff>
    </xdr:from>
    <xdr:to>
      <xdr:col>41</xdr:col>
      <xdr:colOff>56839</xdr:colOff>
      <xdr:row>35</xdr:row>
      <xdr:rowOff>100629</xdr:rowOff>
    </xdr:to>
    <xdr:pic>
      <xdr:nvPicPr>
        <xdr:cNvPr id="2" name="図 1">
          <a:extLst>
            <a:ext uri="{FF2B5EF4-FFF2-40B4-BE49-F238E27FC236}">
              <a16:creationId xmlns:a16="http://schemas.microsoft.com/office/drawing/2014/main" id="{18C24617-4C0C-06DF-AD94-7E7BE198802B}"/>
            </a:ext>
          </a:extLst>
        </xdr:cNvPr>
        <xdr:cNvPicPr>
          <a:picLocks noChangeAspect="1"/>
        </xdr:cNvPicPr>
      </xdr:nvPicPr>
      <xdr:blipFill>
        <a:blip xmlns:r="http://schemas.openxmlformats.org/officeDocument/2006/relationships" r:embed="rId1"/>
        <a:stretch>
          <a:fillRect/>
        </a:stretch>
      </xdr:blipFill>
      <xdr:spPr>
        <a:xfrm>
          <a:off x="10506636" y="2286001"/>
          <a:ext cx="17842815" cy="64207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35718</xdr:colOff>
          <xdr:row>16</xdr:row>
          <xdr:rowOff>47625</xdr:rowOff>
        </xdr:from>
        <xdr:to>
          <xdr:col>7</xdr:col>
          <xdr:colOff>1369218</xdr:colOff>
          <xdr:row>27</xdr:row>
          <xdr:rowOff>57150</xdr:rowOff>
        </xdr:to>
        <xdr:pic>
          <xdr:nvPicPr>
            <xdr:cNvPr id="3" name="図 2">
              <a:extLst>
                <a:ext uri="{FF2B5EF4-FFF2-40B4-BE49-F238E27FC236}">
                  <a16:creationId xmlns:a16="http://schemas.microsoft.com/office/drawing/2014/main" id="{479FF804-BDD0-0C42-7CEC-899E90707C7E}"/>
                </a:ext>
              </a:extLst>
            </xdr:cNvPr>
            <xdr:cNvPicPr>
              <a:picLocks noChangeAspect="1" noChangeArrowheads="1"/>
              <a:extLst>
                <a:ext uri="{84589F7E-364E-4C9E-8A38-B11213B215E9}">
                  <a14:cameraTool cellRange="[8]summary!$B$3:$H$12" spid="_x0000_s14598"/>
                </a:ext>
              </a:extLst>
            </xdr:cNvPicPr>
          </xdr:nvPicPr>
          <xdr:blipFill>
            <a:blip xmlns:r="http://schemas.openxmlformats.org/officeDocument/2006/relationships" r:embed="rId1"/>
            <a:srcRect/>
            <a:stretch>
              <a:fillRect/>
            </a:stretch>
          </xdr:blipFill>
          <xdr:spPr bwMode="auto">
            <a:xfrm>
              <a:off x="892968" y="3357563"/>
              <a:ext cx="5107781" cy="223599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44824</xdr:colOff>
          <xdr:row>15</xdr:row>
          <xdr:rowOff>206188</xdr:rowOff>
        </xdr:from>
        <xdr:to>
          <xdr:col>8</xdr:col>
          <xdr:colOff>337297</xdr:colOff>
          <xdr:row>28</xdr:row>
          <xdr:rowOff>2354</xdr:rowOff>
        </xdr:to>
        <xdr:pic>
          <xdr:nvPicPr>
            <xdr:cNvPr id="3" name="図 2">
              <a:extLst>
                <a:ext uri="{FF2B5EF4-FFF2-40B4-BE49-F238E27FC236}">
                  <a16:creationId xmlns:a16="http://schemas.microsoft.com/office/drawing/2014/main" id="{9EF5B91A-6017-D1D1-C7AA-E76BB9C1F683}"/>
                </a:ext>
              </a:extLst>
            </xdr:cNvPr>
            <xdr:cNvPicPr>
              <a:picLocks noChangeAspect="1" noChangeArrowheads="1"/>
              <a:extLst>
                <a:ext uri="{84589F7E-364E-4C9E-8A38-B11213B215E9}">
                  <a14:cameraTool cellRange="[8]summary!$B$16:$H$26" spid="_x0000_s17655"/>
                </a:ext>
              </a:extLst>
            </xdr:cNvPicPr>
          </xdr:nvPicPr>
          <xdr:blipFill>
            <a:blip xmlns:r="http://schemas.openxmlformats.org/officeDocument/2006/relationships" r:embed="rId1"/>
            <a:srcRect/>
            <a:stretch>
              <a:fillRect/>
            </a:stretch>
          </xdr:blipFill>
          <xdr:spPr bwMode="auto">
            <a:xfrm>
              <a:off x="1667436" y="3738282"/>
              <a:ext cx="5644402" cy="281222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3</xdr:col>
      <xdr:colOff>39546</xdr:colOff>
      <xdr:row>12</xdr:row>
      <xdr:rowOff>197829</xdr:rowOff>
    </xdr:from>
    <xdr:to>
      <xdr:col>6</xdr:col>
      <xdr:colOff>1142999</xdr:colOff>
      <xdr:row>26</xdr:row>
      <xdr:rowOff>103729</xdr:rowOff>
    </xdr:to>
    <xdr:pic>
      <xdr:nvPicPr>
        <xdr:cNvPr id="4" name="図 3">
          <a:extLst>
            <a:ext uri="{FF2B5EF4-FFF2-40B4-BE49-F238E27FC236}">
              <a16:creationId xmlns:a16="http://schemas.microsoft.com/office/drawing/2014/main" id="{A3A3E1B8-7683-DDA2-C62E-3E75C12B3EDB}"/>
            </a:ext>
          </a:extLst>
        </xdr:cNvPr>
        <xdr:cNvPicPr>
          <a:picLocks noChangeAspect="1"/>
        </xdr:cNvPicPr>
      </xdr:nvPicPr>
      <xdr:blipFill>
        <a:blip xmlns:r="http://schemas.openxmlformats.org/officeDocument/2006/relationships" r:embed="rId1"/>
        <a:stretch>
          <a:fillRect/>
        </a:stretch>
      </xdr:blipFill>
      <xdr:spPr>
        <a:xfrm>
          <a:off x="896796" y="2698142"/>
          <a:ext cx="4365766" cy="27395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17</xdr:row>
          <xdr:rowOff>0</xdr:rowOff>
        </xdr:from>
        <xdr:to>
          <xdr:col>7</xdr:col>
          <xdr:colOff>57150</xdr:colOff>
          <xdr:row>27</xdr:row>
          <xdr:rowOff>15240</xdr:rowOff>
        </xdr:to>
        <xdr:pic>
          <xdr:nvPicPr>
            <xdr:cNvPr id="5" name="図 4">
              <a:extLst>
                <a:ext uri="{FF2B5EF4-FFF2-40B4-BE49-F238E27FC236}">
                  <a16:creationId xmlns:a16="http://schemas.microsoft.com/office/drawing/2014/main" id="{5DDC47BC-3AF0-3751-076A-D8D37C36FBBA}"/>
                </a:ext>
              </a:extLst>
            </xdr:cNvPr>
            <xdr:cNvPicPr>
              <a:picLocks noChangeAspect="1" noChangeArrowheads="1"/>
              <a:extLst>
                <a:ext uri="{84589F7E-364E-4C9E-8A38-B11213B215E9}">
                  <a14:cameraTool cellRange="[8]summary!$B$67:$H$76" spid="_x0000_s5535"/>
                </a:ext>
              </a:extLst>
            </xdr:cNvPicPr>
          </xdr:nvPicPr>
          <xdr:blipFill>
            <a:blip xmlns:r="http://schemas.openxmlformats.org/officeDocument/2006/relationships" r:embed="rId1"/>
            <a:srcRect/>
            <a:stretch>
              <a:fillRect/>
            </a:stretch>
          </xdr:blipFill>
          <xdr:spPr bwMode="auto">
            <a:xfrm>
              <a:off x="967740" y="3695700"/>
              <a:ext cx="5737860" cy="229362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9312;&#20877;&#12456;&#12493;"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9312;&#20877;&#12456;&#12493;&#33988;&#38651;"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9313;&#31995;&#32113;&#20805;&#38651;"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9314;&#36890;&#20449;"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9315;&#21046;&#24481;"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9316;RP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Test%20List"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summary"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①再エネ"/>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①再エネ蓄電"/>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②系統充電"/>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③通信"/>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④制御"/>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⑤RP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 Lis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doc2lang.com/preview/kchvhkVZ_69N" TargetMode="External"/><Relationship Id="rId18" Type="http://schemas.openxmlformats.org/officeDocument/2006/relationships/hyperlink" Target="https://doc2lang.com/preview/kchvhkVZ_69N" TargetMode="External"/><Relationship Id="rId26" Type="http://schemas.openxmlformats.org/officeDocument/2006/relationships/hyperlink" Target="https://doc2lang.com/preview/kchvhkVZ_69N" TargetMode="External"/><Relationship Id="rId39" Type="http://schemas.openxmlformats.org/officeDocument/2006/relationships/hyperlink" Target="https://doc2lang.com/preview/kchvhkVZ_69N" TargetMode="External"/><Relationship Id="rId21" Type="http://schemas.openxmlformats.org/officeDocument/2006/relationships/hyperlink" Target="https://doc2lang.com/preview/kchvhkVZ_69N" TargetMode="External"/><Relationship Id="rId34" Type="http://schemas.openxmlformats.org/officeDocument/2006/relationships/hyperlink" Target="https://doc2lang.com/preview/kchvhkVZ_69N" TargetMode="External"/><Relationship Id="rId42" Type="http://schemas.openxmlformats.org/officeDocument/2006/relationships/hyperlink" Target="https://doc2lang.com/preview/kchvhkVZ_69N" TargetMode="External"/><Relationship Id="rId47" Type="http://schemas.openxmlformats.org/officeDocument/2006/relationships/hyperlink" Target="https://doc2lang.com/preview/kchvhkVZ_69N" TargetMode="External"/><Relationship Id="rId7" Type="http://schemas.openxmlformats.org/officeDocument/2006/relationships/hyperlink" Target="https://doc2lang.com/preview/kchvhkVZ_69N" TargetMode="External"/><Relationship Id="rId2" Type="http://schemas.openxmlformats.org/officeDocument/2006/relationships/hyperlink" Target="https://doc2lang.com/preview/kchvhkVZ_69N" TargetMode="External"/><Relationship Id="rId16" Type="http://schemas.openxmlformats.org/officeDocument/2006/relationships/hyperlink" Target="https://doc2lang.com/preview/kchvhkVZ_69N" TargetMode="External"/><Relationship Id="rId29" Type="http://schemas.openxmlformats.org/officeDocument/2006/relationships/hyperlink" Target="https://doc2lang.com/preview/kchvhkVZ_69N" TargetMode="External"/><Relationship Id="rId11" Type="http://schemas.openxmlformats.org/officeDocument/2006/relationships/hyperlink" Target="https://doc2lang.com/preview/kchvhkVZ_69N" TargetMode="External"/><Relationship Id="rId24" Type="http://schemas.openxmlformats.org/officeDocument/2006/relationships/hyperlink" Target="https://doc2lang.com/preview/kchvhkVZ_69N" TargetMode="External"/><Relationship Id="rId32" Type="http://schemas.openxmlformats.org/officeDocument/2006/relationships/hyperlink" Target="https://doc2lang.com/preview/kchvhkVZ_69N" TargetMode="External"/><Relationship Id="rId37" Type="http://schemas.openxmlformats.org/officeDocument/2006/relationships/hyperlink" Target="https://doc2lang.com/preview/kchvhkVZ_69N" TargetMode="External"/><Relationship Id="rId40" Type="http://schemas.openxmlformats.org/officeDocument/2006/relationships/hyperlink" Target="https://doc2lang.com/preview/kchvhkVZ_69N" TargetMode="External"/><Relationship Id="rId45" Type="http://schemas.openxmlformats.org/officeDocument/2006/relationships/hyperlink" Target="https://doc2lang.com/preview/kchvhkVZ_69N" TargetMode="External"/><Relationship Id="rId5" Type="http://schemas.openxmlformats.org/officeDocument/2006/relationships/hyperlink" Target="https://doc2lang.com/preview/kchvhkVZ_69N" TargetMode="External"/><Relationship Id="rId15" Type="http://schemas.openxmlformats.org/officeDocument/2006/relationships/hyperlink" Target="https://doc2lang.com/preview/kchvhkVZ_69N" TargetMode="External"/><Relationship Id="rId23" Type="http://schemas.openxmlformats.org/officeDocument/2006/relationships/hyperlink" Target="https://doc2lang.com/preview/kchvhkVZ_69N" TargetMode="External"/><Relationship Id="rId28" Type="http://schemas.openxmlformats.org/officeDocument/2006/relationships/hyperlink" Target="https://doc2lang.com/preview/kchvhkVZ_69N" TargetMode="External"/><Relationship Id="rId36" Type="http://schemas.openxmlformats.org/officeDocument/2006/relationships/hyperlink" Target="https://doc2lang.com/preview/kchvhkVZ_69N" TargetMode="External"/><Relationship Id="rId49" Type="http://schemas.openxmlformats.org/officeDocument/2006/relationships/printerSettings" Target="../printerSettings/printerSettings2.bin"/><Relationship Id="rId10" Type="http://schemas.openxmlformats.org/officeDocument/2006/relationships/hyperlink" Target="https://doc2lang.com/preview/kchvhkVZ_69N" TargetMode="External"/><Relationship Id="rId19" Type="http://schemas.openxmlformats.org/officeDocument/2006/relationships/hyperlink" Target="https://doc2lang.com/preview/kchvhkVZ_69N" TargetMode="External"/><Relationship Id="rId31" Type="http://schemas.openxmlformats.org/officeDocument/2006/relationships/hyperlink" Target="https://doc2lang.com/preview/kchvhkVZ_69N" TargetMode="External"/><Relationship Id="rId44" Type="http://schemas.openxmlformats.org/officeDocument/2006/relationships/hyperlink" Target="https://doc2lang.com/preview/kchvhkVZ_69N" TargetMode="External"/><Relationship Id="rId4" Type="http://schemas.openxmlformats.org/officeDocument/2006/relationships/hyperlink" Target="https://doc2lang.com/preview/kchvhkVZ_69N" TargetMode="External"/><Relationship Id="rId9" Type="http://schemas.openxmlformats.org/officeDocument/2006/relationships/hyperlink" Target="https://doc2lang.com/preview/kchvhkVZ_69N" TargetMode="External"/><Relationship Id="rId14" Type="http://schemas.openxmlformats.org/officeDocument/2006/relationships/hyperlink" Target="https://doc2lang.com/preview/kchvhkVZ_69N" TargetMode="External"/><Relationship Id="rId22" Type="http://schemas.openxmlformats.org/officeDocument/2006/relationships/hyperlink" Target="https://doc2lang.com/preview/kchvhkVZ_69N" TargetMode="External"/><Relationship Id="rId27" Type="http://schemas.openxmlformats.org/officeDocument/2006/relationships/hyperlink" Target="https://doc2lang.com/preview/kchvhkVZ_69N" TargetMode="External"/><Relationship Id="rId30" Type="http://schemas.openxmlformats.org/officeDocument/2006/relationships/hyperlink" Target="https://doc2lang.com/preview/kchvhkVZ_69N" TargetMode="External"/><Relationship Id="rId35" Type="http://schemas.openxmlformats.org/officeDocument/2006/relationships/hyperlink" Target="https://doc2lang.com/preview/kchvhkVZ_69N" TargetMode="External"/><Relationship Id="rId43" Type="http://schemas.openxmlformats.org/officeDocument/2006/relationships/hyperlink" Target="https://doc2lang.com/preview/kchvhkVZ_69N" TargetMode="External"/><Relationship Id="rId48" Type="http://schemas.openxmlformats.org/officeDocument/2006/relationships/hyperlink" Target="https://doc2lang.com/preview/kchvhkVZ_69N" TargetMode="External"/><Relationship Id="rId8" Type="http://schemas.openxmlformats.org/officeDocument/2006/relationships/hyperlink" Target="https://doc2lang.com/preview/kchvhkVZ_69N" TargetMode="External"/><Relationship Id="rId3" Type="http://schemas.openxmlformats.org/officeDocument/2006/relationships/hyperlink" Target="https://doc2lang.com/preview/kchvhkVZ_69N" TargetMode="External"/><Relationship Id="rId12" Type="http://schemas.openxmlformats.org/officeDocument/2006/relationships/hyperlink" Target="https://doc2lang.com/preview/kchvhkVZ_69N" TargetMode="External"/><Relationship Id="rId17" Type="http://schemas.openxmlformats.org/officeDocument/2006/relationships/hyperlink" Target="https://doc2lang.com/preview/kchvhkVZ_69N" TargetMode="External"/><Relationship Id="rId25" Type="http://schemas.openxmlformats.org/officeDocument/2006/relationships/hyperlink" Target="https://doc2lang.com/preview/kchvhkVZ_69N" TargetMode="External"/><Relationship Id="rId33" Type="http://schemas.openxmlformats.org/officeDocument/2006/relationships/hyperlink" Target="https://doc2lang.com/preview/kchvhkVZ_69N" TargetMode="External"/><Relationship Id="rId38" Type="http://schemas.openxmlformats.org/officeDocument/2006/relationships/hyperlink" Target="https://doc2lang.com/preview/kchvhkVZ_69N" TargetMode="External"/><Relationship Id="rId46" Type="http://schemas.openxmlformats.org/officeDocument/2006/relationships/hyperlink" Target="https://doc2lang.com/preview/kchvhkVZ_69N" TargetMode="External"/><Relationship Id="rId20" Type="http://schemas.openxmlformats.org/officeDocument/2006/relationships/hyperlink" Target="https://doc2lang.com/preview/kchvhkVZ_69N" TargetMode="External"/><Relationship Id="rId41" Type="http://schemas.openxmlformats.org/officeDocument/2006/relationships/hyperlink" Target="https://doc2lang.com/preview/kchvhkVZ_69N" TargetMode="External"/><Relationship Id="rId1" Type="http://schemas.openxmlformats.org/officeDocument/2006/relationships/hyperlink" Target="https://doc2lang.com/preview/kchvhkVZ_69N" TargetMode="External"/><Relationship Id="rId6" Type="http://schemas.openxmlformats.org/officeDocument/2006/relationships/hyperlink" Target="https://doc2lang.com/preview/kchvhkVZ_69N"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08538-47CD-48E1-B935-DF4656414FBA}">
  <dimension ref="A1:C12"/>
  <sheetViews>
    <sheetView workbookViewId="0">
      <selection activeCell="E19" sqref="E19"/>
    </sheetView>
  </sheetViews>
  <sheetFormatPr defaultRowHeight="14.5"/>
  <sheetData>
    <row r="1" spans="1:3" s="2" customFormat="1" ht="15">
      <c r="A1" s="1" t="s">
        <v>0</v>
      </c>
      <c r="B1" s="1"/>
      <c r="C1" s="1"/>
    </row>
    <row r="2" spans="1:3" s="2" customFormat="1" ht="15">
      <c r="A2" s="1"/>
      <c r="B2" s="1"/>
      <c r="C2" s="1"/>
    </row>
    <row r="3" spans="1:3" s="2" customFormat="1" ht="15">
      <c r="A3" s="3" t="s">
        <v>1</v>
      </c>
      <c r="B3" s="1"/>
      <c r="C3" s="1"/>
    </row>
    <row r="4" spans="1:3" s="2" customFormat="1" ht="15">
      <c r="A4" s="3"/>
      <c r="B4" s="1"/>
      <c r="C4" s="1"/>
    </row>
    <row r="5" spans="1:3" s="2" customFormat="1" ht="15">
      <c r="A5" s="3" t="s">
        <v>2</v>
      </c>
      <c r="B5" s="1"/>
      <c r="C5" s="1"/>
    </row>
    <row r="6" spans="1:3" s="2" customFormat="1" ht="15">
      <c r="A6" s="3" t="s">
        <v>3</v>
      </c>
      <c r="B6" s="1"/>
      <c r="C6" s="1"/>
    </row>
    <row r="7" spans="1:3" s="2" customFormat="1" ht="15">
      <c r="A7" s="3" t="s">
        <v>4</v>
      </c>
      <c r="B7" s="1"/>
      <c r="C7" s="1"/>
    </row>
    <row r="8" spans="1:3" s="2" customFormat="1" ht="15">
      <c r="A8" s="1"/>
      <c r="B8" s="1"/>
      <c r="C8" s="1"/>
    </row>
    <row r="11" spans="1:3" ht="15">
      <c r="A11" s="3" t="s">
        <v>5</v>
      </c>
    </row>
    <row r="12" spans="1:3" ht="15">
      <c r="A12" s="2" t="s">
        <v>6</v>
      </c>
    </row>
  </sheetData>
  <phoneticPr fontId="2"/>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1A687-BB56-428C-8342-7F2AF075BE50}">
  <sheetPr>
    <tabColor rgb="FF92D050"/>
    <pageSetUpPr fitToPage="1"/>
  </sheetPr>
  <dimension ref="B2:J15"/>
  <sheetViews>
    <sheetView view="pageBreakPreview" topLeftCell="A5" zoomScale="85" zoomScaleNormal="70" zoomScaleSheetLayoutView="85" workbookViewId="0">
      <selection activeCell="C11" sqref="C11"/>
    </sheetView>
  </sheetViews>
  <sheetFormatPr defaultColWidth="8.7265625" defaultRowHeight="14.5"/>
  <cols>
    <col min="1" max="1" width="1.81640625" style="51" customWidth="1"/>
    <col min="2" max="2" width="11.1796875" style="51" customWidth="1"/>
    <col min="3" max="3" width="23.1796875" style="51" customWidth="1"/>
    <col min="4" max="4" width="48.1796875" style="51" customWidth="1"/>
    <col min="5" max="5" width="31.81640625" style="51" customWidth="1"/>
    <col min="6" max="6" width="94.81640625" style="51" customWidth="1"/>
    <col min="7" max="7" width="42.26953125" style="51" customWidth="1"/>
    <col min="8" max="8" width="32.1796875" style="51" customWidth="1"/>
    <col min="9" max="9" width="8.7265625" style="51"/>
    <col min="10" max="10" width="59.54296875" style="51" customWidth="1"/>
    <col min="11" max="16384" width="8.7265625" style="51"/>
  </cols>
  <sheetData>
    <row r="2" spans="2:10" ht="26">
      <c r="C2" s="52" t="s">
        <v>7</v>
      </c>
      <c r="D2" s="52" t="s">
        <v>8</v>
      </c>
      <c r="H2" s="53">
        <v>45951</v>
      </c>
    </row>
    <row r="4" spans="2:10">
      <c r="B4" s="54" t="s">
        <v>9</v>
      </c>
      <c r="C4" s="55" t="s">
        <v>10</v>
      </c>
      <c r="D4" s="55" t="s">
        <v>11</v>
      </c>
      <c r="E4" s="55" t="s">
        <v>12</v>
      </c>
      <c r="F4" s="54" t="s">
        <v>13</v>
      </c>
      <c r="G4" s="54" t="s">
        <v>14</v>
      </c>
      <c r="H4" s="56" t="s">
        <v>15</v>
      </c>
    </row>
    <row r="5" spans="2:10" ht="188.5">
      <c r="B5" s="57" t="s">
        <v>16</v>
      </c>
      <c r="C5" s="58" t="s">
        <v>17</v>
      </c>
      <c r="D5" s="59" t="s">
        <v>18</v>
      </c>
      <c r="E5" s="59" t="s">
        <v>19</v>
      </c>
      <c r="F5" s="60" t="s">
        <v>20</v>
      </c>
      <c r="G5" s="61"/>
      <c r="H5" s="62" t="s">
        <v>21</v>
      </c>
    </row>
    <row r="6" spans="2:10">
      <c r="B6" s="116" t="s">
        <v>22</v>
      </c>
      <c r="C6" s="118" t="s">
        <v>23</v>
      </c>
      <c r="D6" s="58" t="s">
        <v>23</v>
      </c>
      <c r="E6" s="120" t="s">
        <v>23</v>
      </c>
      <c r="F6" s="124" t="s">
        <v>23</v>
      </c>
      <c r="G6" s="126"/>
      <c r="H6" s="122"/>
      <c r="J6" s="79" t="s">
        <v>23</v>
      </c>
    </row>
    <row r="7" spans="2:10">
      <c r="B7" s="117"/>
      <c r="C7" s="119"/>
      <c r="D7" s="58" t="s">
        <v>23</v>
      </c>
      <c r="E7" s="121"/>
      <c r="F7" s="125"/>
      <c r="G7" s="127"/>
      <c r="H7" s="123"/>
    </row>
    <row r="8" spans="2:10" ht="43.5">
      <c r="B8" s="63" t="s">
        <v>23</v>
      </c>
      <c r="C8" s="64" t="s">
        <v>23</v>
      </c>
      <c r="D8" s="64" t="s">
        <v>23</v>
      </c>
      <c r="E8" s="64" t="s">
        <v>23</v>
      </c>
      <c r="F8" s="65" t="s">
        <v>23</v>
      </c>
      <c r="G8" s="66" t="s">
        <v>23</v>
      </c>
      <c r="H8" s="62" t="s">
        <v>23</v>
      </c>
    </row>
    <row r="9" spans="2:10" ht="122.5" customHeight="1">
      <c r="B9" s="63" t="s">
        <v>23</v>
      </c>
      <c r="C9" s="58" t="s">
        <v>23</v>
      </c>
      <c r="D9" s="58" t="s">
        <v>23</v>
      </c>
      <c r="E9" s="58" t="s">
        <v>23</v>
      </c>
      <c r="F9" s="67" t="s">
        <v>23</v>
      </c>
      <c r="G9" s="84" t="s">
        <v>23</v>
      </c>
      <c r="H9" s="68"/>
    </row>
    <row r="10" spans="2:10" ht="43.5" hidden="1">
      <c r="B10" s="57" t="s">
        <v>23</v>
      </c>
      <c r="C10" s="69" t="s">
        <v>23</v>
      </c>
      <c r="D10" s="69" t="s">
        <v>23</v>
      </c>
      <c r="E10" s="69" t="s">
        <v>23</v>
      </c>
      <c r="F10" s="70" t="s">
        <v>23</v>
      </c>
      <c r="G10" s="71" t="s">
        <v>23</v>
      </c>
      <c r="H10" s="69" t="s">
        <v>23</v>
      </c>
    </row>
    <row r="11" spans="2:10" ht="179.5" customHeight="1">
      <c r="B11" s="57" t="s">
        <v>23</v>
      </c>
      <c r="C11" s="59" t="s">
        <v>23</v>
      </c>
      <c r="D11" s="59" t="s">
        <v>23</v>
      </c>
      <c r="E11" s="59" t="s">
        <v>23</v>
      </c>
      <c r="F11" s="60" t="s">
        <v>23</v>
      </c>
      <c r="G11" s="61"/>
      <c r="H11" s="72" t="s">
        <v>23</v>
      </c>
    </row>
    <row r="12" spans="2:10">
      <c r="B12" s="73"/>
      <c r="C12" s="73"/>
      <c r="D12" s="73"/>
      <c r="E12" s="73"/>
      <c r="F12" s="73"/>
      <c r="G12" s="73"/>
      <c r="H12" s="74"/>
    </row>
    <row r="13" spans="2:10">
      <c r="B13" s="73"/>
      <c r="C13" s="75"/>
      <c r="D13" s="76"/>
      <c r="E13" s="73"/>
      <c r="F13" s="77" t="s">
        <v>23</v>
      </c>
      <c r="G13" s="73"/>
      <c r="H13" s="74"/>
    </row>
    <row r="14" spans="2:10">
      <c r="B14" s="73"/>
      <c r="C14" s="73"/>
      <c r="D14" s="76"/>
      <c r="E14" s="73"/>
      <c r="F14" s="73"/>
      <c r="G14" s="73"/>
      <c r="H14" s="74"/>
    </row>
    <row r="15" spans="2:10">
      <c r="D15" s="78"/>
    </row>
  </sheetData>
  <mergeCells count="6">
    <mergeCell ref="B6:B7"/>
    <mergeCell ref="C6:C7"/>
    <mergeCell ref="E6:E7"/>
    <mergeCell ref="H6:H7"/>
    <mergeCell ref="F6:F7"/>
    <mergeCell ref="G6:G7"/>
  </mergeCells>
  <phoneticPr fontId="2"/>
  <hyperlinks>
    <hyperlink ref="C2" r:id="rId1" tooltip="doc2lang.comで全ファイルの翻訳にアップグレードdoc2lang.com" display="doc2lang.comで全ファイルの翻訳にアップグレードdoc2lang.com" xr:uid="{00000000-0004-0000-0100-000000000000}"/>
    <hyperlink ref="D2" r:id="rId2" tooltip="doc2lang.comで全ファイルの翻訳にアップグレードdoc2lang.com" display="doc2lang.comで全ファイルの翻訳にアップグレードdoc2lang.com" xr:uid="{00000000-0004-0000-0100-000001000000}"/>
    <hyperlink ref="B4" r:id="rId3" tooltip="doc2lang.comで全ファイルの翻訳にアップグレードdoc2lang.com" display="doc2lang.comで全ファイルの翻訳にアップグレードdoc2lang.com" xr:uid="{00000000-0004-0000-0100-000002000000}"/>
    <hyperlink ref="C4" r:id="rId4" tooltip="doc2lang.comで全ファイルの翻訳にアップグレードdoc2lang.com" display="doc2lang.comで全ファイルの翻訳にアップグレードdoc2lang.com" xr:uid="{00000000-0004-0000-0100-000003000000}"/>
    <hyperlink ref="D4" r:id="rId5" tooltip="doc2lang.comで全ファイルの翻訳にアップグレードdoc2lang.com" display="doc2lang.comで全ファイルの翻訳にアップグレードdoc2lang.com" xr:uid="{00000000-0004-0000-0100-000004000000}"/>
    <hyperlink ref="E4" r:id="rId6" tooltip="doc2lang.comで全ファイルの翻訳にアップグレードdoc2lang.com" display="doc2lang.comで全ファイルの翻訳にアップグレードdoc2lang.com" xr:uid="{00000000-0004-0000-0100-000005000000}"/>
    <hyperlink ref="F4" r:id="rId7" tooltip="doc2lang.comで全ファイルの翻訳にアップグレードdoc2lang.com" display="doc2lang.comで全ファイルの翻訳にアップグレードdoc2lang.com" xr:uid="{00000000-0004-0000-0100-000006000000}"/>
    <hyperlink ref="G4" r:id="rId8" tooltip="doc2lang.comで全ファイルの翻訳にアップグレードdoc2lang.com" display="doc2lang.comで全ファイルの翻訳にアップグレードdoc2lang.com" xr:uid="{00000000-0004-0000-0100-000007000000}"/>
    <hyperlink ref="H4" r:id="rId9" tooltip="doc2lang.comで全ファイルの翻訳にアップグレードdoc2lang.com" display="doc2lang.comで全ファイルの翻訳にアップグレードdoc2lang.com" xr:uid="{00000000-0004-0000-0100-000008000000}"/>
    <hyperlink ref="B5" r:id="rId10" tooltip="doc2lang.comで全ファイルの翻訳にアップグレードdoc2lang.com" display="doc2lang.comで全ファイルの翻訳にアップグレードdoc2lang.com" xr:uid="{00000000-0004-0000-0100-000009000000}"/>
    <hyperlink ref="C5" r:id="rId11" tooltip="doc2lang.comで全ファイルの翻訳にアップグレードdoc2lang.com" display="doc2lang.comで全ファイルの翻訳にアップグレードdoc2lang.com" xr:uid="{00000000-0004-0000-0100-00000A000000}"/>
    <hyperlink ref="E5" r:id="rId12" tooltip="doc2lang.comで全ファイルの翻訳にアップグレードdoc2lang.com" display="doc2lang.comで全ファイルの翻訳にアップグレードdoc2lang.com" xr:uid="{00000000-0004-0000-0100-00000C000000}"/>
    <hyperlink ref="F5" r:id="rId13" tooltip="doc2lang.comで全ファイルの翻訳にアップグレードdoc2lang.com" display="doc2lang.comで全ファイルの翻訳にアップグレードdoc2lang.com" xr:uid="{00000000-0004-0000-0100-00000D000000}"/>
    <hyperlink ref="H5" r:id="rId14" tooltip="doc2lang.comで全ファイルの翻訳にアップグレードdoc2lang.com" display="doc2lang.comで全ファイルの翻訳にアップグレードdoc2lang.com" xr:uid="{00000000-0004-0000-0100-00000E000000}"/>
    <hyperlink ref="B6" r:id="rId15" tooltip="doc2lang.comで全ファイルの翻訳にアップグレードdoc2lang.com" display="doc2lang.comで全ファイルの翻訳にアップグレードdoc2lang.com" xr:uid="{00000000-0004-0000-0100-00000F000000}"/>
    <hyperlink ref="C6" r:id="rId16" tooltip="doc2lang.comで全ファイルの翻訳にアップグレードdoc2lang.com" display="doc2lang.comで全ファイルの翻訳にアップグレードdoc2lang.com" xr:uid="{00000000-0004-0000-0100-000010000000}"/>
    <hyperlink ref="D6" r:id="rId17" tooltip="doc2lang.comで全ファイルの翻訳にアップグレードdoc2lang.com" display="doc2lang.comで全ファイルの翻訳にアップグレードdoc2lang.com" xr:uid="{00000000-0004-0000-0100-000011000000}"/>
    <hyperlink ref="E6" r:id="rId18" tooltip="doc2lang.comで全ファイルの翻訳にアップグレードdoc2lang.com" display="doc2lang.comで全ファイルの翻訳にアップグレードdoc2lang.com" xr:uid="{00000000-0004-0000-0100-000012000000}"/>
    <hyperlink ref="F6" r:id="rId19" tooltip="doc2lang.comで全ファイルの翻訳にアップグレードdoc2lang.com" display="doc2lang.comで全ファイルの翻訳にアップグレードdoc2lang.com" xr:uid="{00000000-0004-0000-0100-000013000000}"/>
    <hyperlink ref="J6" r:id="rId20" tooltip="doc2lang.comで全ファイルの翻訳にアップグレードdoc2lang.com" display="doc2lang.comで全ファイルの翻訳にアップグレードdoc2lang.com" xr:uid="{00000000-0004-0000-0100-000014000000}"/>
    <hyperlink ref="D7" r:id="rId21" tooltip="doc2lang.comで全ファイルの翻訳にアップグレードdoc2lang.com" display="doc2lang.comで全ファイルの翻訳にアップグレードdoc2lang.com" xr:uid="{00000000-0004-0000-0100-000015000000}"/>
    <hyperlink ref="B8" r:id="rId22" tooltip="doc2lang.comで全ファイルの翻訳にアップグレードdoc2lang.com" display="doc2lang.comで全ファイルの翻訳にアップグレードdoc2lang.com" xr:uid="{00000000-0004-0000-0100-000016000000}"/>
    <hyperlink ref="C8" r:id="rId23" tooltip="doc2lang.comで全ファイルの翻訳にアップグレードdoc2lang.com" display="doc2lang.comで全ファイルの翻訳にアップグレードdoc2lang.com" xr:uid="{00000000-0004-0000-0100-000017000000}"/>
    <hyperlink ref="D8" r:id="rId24" tooltip="doc2lang.comで全ファイルの翻訳にアップグレードdoc2lang.com" display="doc2lang.comで全ファイルの翻訳にアップグレードdoc2lang.com" xr:uid="{00000000-0004-0000-0100-000018000000}"/>
    <hyperlink ref="E8" r:id="rId25" tooltip="doc2lang.comで全ファイルの翻訳にアップグレードdoc2lang.com" display="doc2lang.comで全ファイルの翻訳にアップグレードdoc2lang.com" xr:uid="{00000000-0004-0000-0100-000019000000}"/>
    <hyperlink ref="F8" r:id="rId26" tooltip="doc2lang.comで全ファイルの翻訳にアップグレードdoc2lang.com" display="doc2lang.comで全ファイルの翻訳にアップグレードdoc2lang.com" xr:uid="{00000000-0004-0000-0100-00001A000000}"/>
    <hyperlink ref="G8" r:id="rId27" tooltip="doc2lang.comで全ファイルの翻訳にアップグレードdoc2lang.com" display="doc2lang.comで全ファイルの翻訳にアップグレードdoc2lang.com" xr:uid="{00000000-0004-0000-0100-00001B000000}"/>
    <hyperlink ref="H8" r:id="rId28" tooltip="doc2lang.comで全ファイルの翻訳にアップグレードdoc2lang.com" display="doc2lang.comで全ファイルの翻訳にアップグレードdoc2lang.com" xr:uid="{00000000-0004-0000-0100-00001C000000}"/>
    <hyperlink ref="B9" r:id="rId29" tooltip="doc2lang.comで全ファイルの翻訳にアップグレードdoc2lang.com" display="doc2lang.comで全ファイルの翻訳にアップグレードdoc2lang.com" xr:uid="{00000000-0004-0000-0100-00001D000000}"/>
    <hyperlink ref="C9" r:id="rId30" tooltip="doc2lang.comで全ファイルの翻訳にアップグレードdoc2lang.com" display="doc2lang.comで全ファイルの翻訳にアップグレードdoc2lang.com" xr:uid="{00000000-0004-0000-0100-00001E000000}"/>
    <hyperlink ref="D9" r:id="rId31" tooltip="doc2lang.comで全ファイルの翻訳にアップグレードdoc2lang.com" display="doc2lang.comで全ファイルの翻訳にアップグレードdoc2lang.com" xr:uid="{00000000-0004-0000-0100-00001F000000}"/>
    <hyperlink ref="E9" r:id="rId32" tooltip="doc2lang.comで全ファイルの翻訳にアップグレードdoc2lang.com" display="doc2lang.comで全ファイルの翻訳にアップグレードdoc2lang.com" xr:uid="{00000000-0004-0000-0100-000020000000}"/>
    <hyperlink ref="F9" r:id="rId33" tooltip="doc2lang.comで全ファイルの翻訳にアップグレードdoc2lang.com" display="doc2lang.comで全ファイルの翻訳にアップグレードdoc2lang.com" xr:uid="{00000000-0004-0000-0100-000021000000}"/>
    <hyperlink ref="G9" r:id="rId34" tooltip="doc2lang.comで全ファイルの翻訳にアップグレードdoc2lang.com" display="doc2lang.comで全ファイルの翻訳にアップグレードdoc2lang.com" xr:uid="{00000000-0004-0000-0100-000022000000}"/>
    <hyperlink ref="B10" r:id="rId35" tooltip="doc2lang.comで全ファイルの翻訳にアップグレードdoc2lang.com" display="doc2lang.comで全ファイルの翻訳にアップグレードdoc2lang.com" xr:uid="{00000000-0004-0000-0100-000023000000}"/>
    <hyperlink ref="C10" r:id="rId36" tooltip="doc2lang.comで全ファイルの翻訳にアップグレードdoc2lang.com" display="doc2lang.comで全ファイルの翻訳にアップグレードdoc2lang.com" xr:uid="{00000000-0004-0000-0100-000024000000}"/>
    <hyperlink ref="D10" r:id="rId37" tooltip="doc2lang.comで全ファイルの翻訳にアップグレードdoc2lang.com" display="doc2lang.comで全ファイルの翻訳にアップグレードdoc2lang.com" xr:uid="{00000000-0004-0000-0100-000025000000}"/>
    <hyperlink ref="E10" r:id="rId38" tooltip="doc2lang.comで全ファイルの翻訳にアップグレードdoc2lang.com" display="doc2lang.comで全ファイルの翻訳にアップグレードdoc2lang.com" xr:uid="{00000000-0004-0000-0100-000026000000}"/>
    <hyperlink ref="F10" r:id="rId39" tooltip="doc2lang.comで全ファイルの翻訳にアップグレードdoc2lang.com" display="doc2lang.comで全ファイルの翻訳にアップグレードdoc2lang.com" xr:uid="{00000000-0004-0000-0100-000027000000}"/>
    <hyperlink ref="G10" r:id="rId40" tooltip="doc2lang.comで全ファイルの翻訳にアップグレードdoc2lang.com" display="doc2lang.comで全ファイルの翻訳にアップグレードdoc2lang.com" xr:uid="{00000000-0004-0000-0100-000028000000}"/>
    <hyperlink ref="H10" r:id="rId41" tooltip="doc2lang.comで全ファイルの翻訳にアップグレードdoc2lang.com" display="doc2lang.comで全ファイルの翻訳にアップグレードdoc2lang.com" xr:uid="{00000000-0004-0000-0100-000029000000}"/>
    <hyperlink ref="B11" r:id="rId42" tooltip="doc2lang.comで全ファイルの翻訳にアップグレードdoc2lang.com" display="doc2lang.comで全ファイルの翻訳にアップグレードdoc2lang.com" xr:uid="{00000000-0004-0000-0100-00002A000000}"/>
    <hyperlink ref="C11" r:id="rId43" tooltip="doc2lang.comで全ファイルの翻訳にアップグレードdoc2lang.com" display="doc2lang.comで全ファイルの翻訳にアップグレードdoc2lang.com" xr:uid="{00000000-0004-0000-0100-00002B000000}"/>
    <hyperlink ref="D11" r:id="rId44" tooltip="doc2lang.comで全ファイルの翻訳にアップグレードdoc2lang.com" display="doc2lang.comで全ファイルの翻訳にアップグレードdoc2lang.com" xr:uid="{00000000-0004-0000-0100-00002C000000}"/>
    <hyperlink ref="E11" r:id="rId45" tooltip="doc2lang.comで全ファイルの翻訳にアップグレードdoc2lang.com" display="doc2lang.comで全ファイルの翻訳にアップグレードdoc2lang.com" xr:uid="{00000000-0004-0000-0100-00002D000000}"/>
    <hyperlink ref="F11" r:id="rId46" tooltip="doc2lang.comで全ファイルの翻訳にアップグレードdoc2lang.com" display="doc2lang.comで全ファイルの翻訳にアップグレードdoc2lang.com" xr:uid="{00000000-0004-0000-0100-00002E000000}"/>
    <hyperlink ref="H11" r:id="rId47" tooltip="doc2lang.comで全ファイルの翻訳にアップグレードdoc2lang.com" display="doc2lang.comで全ファイルの翻訳にアップグレードdoc2lang.com" xr:uid="{00000000-0004-0000-0100-00002F000000}"/>
    <hyperlink ref="F13" r:id="rId48" tooltip="doc2lang.comで全ファイルの翻訳にアップグレードdoc2lang.com" display="doc2lang.comで全ファイルの翻訳にアップグレードdoc2lang.com" xr:uid="{00000000-0004-0000-0100-000030000000}"/>
  </hyperlinks>
  <pageMargins left="0.25" right="0.25" top="0.75" bottom="0.75" header="0.3" footer="0.3"/>
  <pageSetup paperSize="9" scale="40" fitToHeight="0" orientation="landscape" r:id="rId4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FC233-A204-4466-9663-95714006BCC6}">
  <sheetPr>
    <pageSetUpPr fitToPage="1"/>
  </sheetPr>
  <dimension ref="A2:I76"/>
  <sheetViews>
    <sheetView showGridLines="0" topLeftCell="A18" zoomScale="85" zoomScaleNormal="85" workbookViewId="0">
      <selection activeCell="F59" sqref="F59"/>
    </sheetView>
  </sheetViews>
  <sheetFormatPr defaultColWidth="8.7265625" defaultRowHeight="18" customHeight="1"/>
  <cols>
    <col min="1" max="1" width="4.26953125" style="3" customWidth="1"/>
    <col min="2" max="2" width="12.7265625" style="3" customWidth="1"/>
    <col min="3" max="11" width="10.453125" style="3" customWidth="1"/>
    <col min="12" max="16384" width="8.7265625" style="3"/>
  </cols>
  <sheetData>
    <row r="2" spans="1:8" ht="18" customHeight="1">
      <c r="A2" s="3" t="s">
        <v>24</v>
      </c>
    </row>
    <row r="3" spans="1:8" ht="18" customHeight="1">
      <c r="C3" s="12" t="s">
        <v>25</v>
      </c>
      <c r="D3" s="12" t="s">
        <v>26</v>
      </c>
      <c r="E3" s="12" t="s">
        <v>27</v>
      </c>
      <c r="F3" s="12" t="s">
        <v>28</v>
      </c>
      <c r="G3" s="12" t="s">
        <v>29</v>
      </c>
      <c r="H3" s="12" t="s">
        <v>30</v>
      </c>
    </row>
    <row r="4" spans="1:8" ht="18" customHeight="1">
      <c r="B4" s="8" t="s">
        <v>31</v>
      </c>
      <c r="C4" s="41">
        <v>1</v>
      </c>
      <c r="D4" s="10">
        <v>0.1</v>
      </c>
      <c r="E4" s="10">
        <v>0.1</v>
      </c>
      <c r="F4" s="10">
        <v>0.1</v>
      </c>
      <c r="G4" s="10">
        <v>0.2</v>
      </c>
      <c r="H4" s="10">
        <v>0.2</v>
      </c>
    </row>
    <row r="5" spans="1:8" ht="36" customHeight="1">
      <c r="B5" s="8" t="s">
        <v>32</v>
      </c>
      <c r="C5" s="6" t="s">
        <v>33</v>
      </c>
      <c r="D5" s="7" t="s">
        <v>33</v>
      </c>
      <c r="E5" s="45" t="s">
        <v>34</v>
      </c>
      <c r="F5" s="7" t="s">
        <v>33</v>
      </c>
      <c r="G5" s="7" t="s">
        <v>33</v>
      </c>
      <c r="H5" s="45" t="s">
        <v>34</v>
      </c>
    </row>
    <row r="6" spans="1:8" ht="18" customHeight="1">
      <c r="B6" s="8" t="s">
        <v>35</v>
      </c>
      <c r="C6" s="6" t="s">
        <v>36</v>
      </c>
      <c r="D6" s="7" t="s">
        <v>37</v>
      </c>
      <c r="E6" s="44" t="s">
        <v>34</v>
      </c>
      <c r="F6" s="7" t="s">
        <v>37</v>
      </c>
      <c r="G6" s="7" t="s">
        <v>37</v>
      </c>
      <c r="H6" s="44" t="s">
        <v>34</v>
      </c>
    </row>
    <row r="7" spans="1:8" ht="18" customHeight="1">
      <c r="B7" s="8" t="s">
        <v>38</v>
      </c>
      <c r="C7" s="6" t="s">
        <v>39</v>
      </c>
      <c r="D7" s="11" t="s">
        <v>40</v>
      </c>
      <c r="E7" s="11" t="s">
        <v>41</v>
      </c>
      <c r="F7" s="11" t="s">
        <v>40</v>
      </c>
      <c r="G7" s="11" t="s">
        <v>42</v>
      </c>
      <c r="H7" s="11" t="s">
        <v>41</v>
      </c>
    </row>
    <row r="8" spans="1:8" ht="18" customHeight="1">
      <c r="B8" s="8" t="s">
        <v>43</v>
      </c>
      <c r="C8" s="6" t="s">
        <v>44</v>
      </c>
      <c r="D8" s="6" t="s">
        <v>44</v>
      </c>
      <c r="E8" s="10" t="s">
        <v>45</v>
      </c>
      <c r="F8" s="6" t="s">
        <v>44</v>
      </c>
      <c r="G8" s="6" t="s">
        <v>44</v>
      </c>
      <c r="H8" s="10" t="s">
        <v>45</v>
      </c>
    </row>
    <row r="10" spans="1:8" ht="18" customHeight="1">
      <c r="B10" s="14"/>
      <c r="C10" s="3" t="s">
        <v>46</v>
      </c>
    </row>
    <row r="11" spans="1:8" ht="18" customHeight="1">
      <c r="B11" s="15"/>
      <c r="C11" s="3" t="s">
        <v>47</v>
      </c>
    </row>
    <row r="12" spans="1:8" ht="18" customHeight="1">
      <c r="B12" s="16"/>
      <c r="C12" s="3" t="s">
        <v>48</v>
      </c>
    </row>
    <row r="15" spans="1:8" ht="18" customHeight="1">
      <c r="A15" s="3" t="s">
        <v>49</v>
      </c>
    </row>
    <row r="16" spans="1:8" ht="18" customHeight="1">
      <c r="C16" s="12" t="s">
        <v>25</v>
      </c>
      <c r="D16" s="12" t="s">
        <v>26</v>
      </c>
      <c r="E16" s="12" t="s">
        <v>27</v>
      </c>
      <c r="F16" s="12" t="s">
        <v>28</v>
      </c>
      <c r="G16" s="12" t="s">
        <v>29</v>
      </c>
      <c r="H16" s="12" t="s">
        <v>30</v>
      </c>
    </row>
    <row r="17" spans="1:8" ht="18" customHeight="1">
      <c r="B17" s="8" t="s">
        <v>31</v>
      </c>
      <c r="C17" s="41">
        <v>1</v>
      </c>
      <c r="D17" s="10">
        <v>0.1</v>
      </c>
      <c r="E17" s="10">
        <v>0.1</v>
      </c>
      <c r="F17" s="10">
        <v>0.1</v>
      </c>
      <c r="G17" s="10">
        <v>0.2</v>
      </c>
      <c r="H17" s="10">
        <v>0.2</v>
      </c>
    </row>
    <row r="18" spans="1:8" ht="36" customHeight="1">
      <c r="B18" s="8" t="s">
        <v>32</v>
      </c>
      <c r="C18" s="6" t="s">
        <v>33</v>
      </c>
      <c r="D18" s="7" t="s">
        <v>33</v>
      </c>
      <c r="E18" s="45" t="s">
        <v>34</v>
      </c>
      <c r="F18" s="7" t="s">
        <v>33</v>
      </c>
      <c r="G18" s="7" t="s">
        <v>33</v>
      </c>
      <c r="H18" s="45" t="s">
        <v>34</v>
      </c>
    </row>
    <row r="19" spans="1:8" ht="18" customHeight="1">
      <c r="B19" s="8" t="s">
        <v>35</v>
      </c>
      <c r="C19" s="6" t="s">
        <v>36</v>
      </c>
      <c r="D19" s="7" t="s">
        <v>37</v>
      </c>
      <c r="E19" s="44" t="s">
        <v>34</v>
      </c>
      <c r="F19" s="7" t="s">
        <v>37</v>
      </c>
      <c r="G19" s="7" t="s">
        <v>37</v>
      </c>
      <c r="H19" s="44" t="s">
        <v>34</v>
      </c>
    </row>
    <row r="20" spans="1:8" ht="18" customHeight="1">
      <c r="B20" s="8" t="s">
        <v>38</v>
      </c>
      <c r="C20" s="6" t="s">
        <v>39</v>
      </c>
      <c r="D20" s="11" t="s">
        <v>40</v>
      </c>
      <c r="E20" s="11" t="s">
        <v>41</v>
      </c>
      <c r="F20" s="11" t="s">
        <v>40</v>
      </c>
      <c r="G20" s="11" t="s">
        <v>42</v>
      </c>
      <c r="H20" s="11" t="s">
        <v>41</v>
      </c>
    </row>
    <row r="21" spans="1:8" ht="18" customHeight="1">
      <c r="B21" s="8" t="s">
        <v>43</v>
      </c>
      <c r="C21" s="6" t="s">
        <v>44</v>
      </c>
      <c r="D21" s="6" t="s">
        <v>44</v>
      </c>
      <c r="E21" s="10" t="s">
        <v>45</v>
      </c>
      <c r="F21" s="6" t="s">
        <v>44</v>
      </c>
      <c r="G21" s="6" t="s">
        <v>44</v>
      </c>
      <c r="H21" s="10" t="s">
        <v>45</v>
      </c>
    </row>
    <row r="22" spans="1:8" ht="18" customHeight="1">
      <c r="B22" s="8" t="s">
        <v>50</v>
      </c>
      <c r="C22" s="6" t="s">
        <v>44</v>
      </c>
      <c r="D22" s="10" t="s">
        <v>51</v>
      </c>
      <c r="E22" s="10" t="s">
        <v>51</v>
      </c>
      <c r="F22" s="10" t="s">
        <v>51</v>
      </c>
      <c r="G22" s="10" t="s">
        <v>51</v>
      </c>
      <c r="H22" s="10" t="s">
        <v>51</v>
      </c>
    </row>
    <row r="24" spans="1:8" ht="18" customHeight="1">
      <c r="B24" s="14"/>
      <c r="C24" s="3" t="s">
        <v>46</v>
      </c>
    </row>
    <row r="25" spans="1:8" ht="18" customHeight="1">
      <c r="B25" s="15"/>
      <c r="C25" s="3" t="s">
        <v>47</v>
      </c>
    </row>
    <row r="26" spans="1:8" ht="18" customHeight="1">
      <c r="B26" s="16"/>
      <c r="C26" s="3" t="s">
        <v>48</v>
      </c>
    </row>
    <row r="28" spans="1:8" ht="18" customHeight="1">
      <c r="A28" s="3" t="s">
        <v>52</v>
      </c>
    </row>
    <row r="29" spans="1:8" ht="18" customHeight="1">
      <c r="C29" s="12" t="s">
        <v>25</v>
      </c>
      <c r="D29" s="12" t="s">
        <v>26</v>
      </c>
      <c r="E29" s="12" t="s">
        <v>27</v>
      </c>
      <c r="F29" s="12" t="s">
        <v>27</v>
      </c>
    </row>
    <row r="30" spans="1:8" ht="18" customHeight="1">
      <c r="B30" s="8" t="s">
        <v>32</v>
      </c>
      <c r="C30" s="6" t="s">
        <v>33</v>
      </c>
      <c r="D30" s="7" t="s">
        <v>53</v>
      </c>
      <c r="E30" s="45" t="s">
        <v>34</v>
      </c>
      <c r="F30" s="45" t="s">
        <v>34</v>
      </c>
    </row>
    <row r="31" spans="1:8" ht="18" customHeight="1">
      <c r="B31" s="8" t="s">
        <v>35</v>
      </c>
      <c r="C31" s="6" t="s">
        <v>36</v>
      </c>
      <c r="D31" s="6" t="s">
        <v>36</v>
      </c>
      <c r="E31" s="44" t="s">
        <v>34</v>
      </c>
      <c r="F31" s="44" t="s">
        <v>34</v>
      </c>
    </row>
    <row r="32" spans="1:8" ht="18" customHeight="1">
      <c r="B32" s="8" t="s">
        <v>38</v>
      </c>
      <c r="C32" s="6" t="s">
        <v>39</v>
      </c>
      <c r="D32" s="6" t="s">
        <v>39</v>
      </c>
      <c r="E32" s="11" t="s">
        <v>54</v>
      </c>
      <c r="F32" s="11" t="s">
        <v>55</v>
      </c>
    </row>
    <row r="33" spans="1:9" ht="18" customHeight="1">
      <c r="B33" s="8" t="s">
        <v>43</v>
      </c>
      <c r="C33" s="6" t="s">
        <v>44</v>
      </c>
      <c r="D33" s="9" t="s">
        <v>56</v>
      </c>
      <c r="E33" s="10" t="s">
        <v>57</v>
      </c>
      <c r="F33" s="10" t="s">
        <v>45</v>
      </c>
    </row>
    <row r="35" spans="1:9" ht="18" customHeight="1">
      <c r="B35" s="14"/>
      <c r="C35" s="3" t="s">
        <v>46</v>
      </c>
    </row>
    <row r="36" spans="1:9" ht="18" customHeight="1">
      <c r="B36" s="15"/>
      <c r="C36" s="3" t="s">
        <v>47</v>
      </c>
    </row>
    <row r="37" spans="1:9" ht="18" customHeight="1">
      <c r="B37" s="16"/>
      <c r="C37" s="3" t="s">
        <v>48</v>
      </c>
    </row>
    <row r="40" spans="1:9" ht="18" customHeight="1">
      <c r="A40" s="3" t="s">
        <v>58</v>
      </c>
    </row>
    <row r="41" spans="1:9" ht="18" customHeight="1">
      <c r="C41" s="12" t="s">
        <v>25</v>
      </c>
      <c r="D41" s="12" t="s">
        <v>26</v>
      </c>
      <c r="E41" s="12" t="s">
        <v>27</v>
      </c>
      <c r="F41" s="12" t="s">
        <v>59</v>
      </c>
      <c r="G41" s="12" t="s">
        <v>60</v>
      </c>
      <c r="H41" s="12" t="s">
        <v>61</v>
      </c>
      <c r="I41" s="12" t="s">
        <v>62</v>
      </c>
    </row>
    <row r="42" spans="1:9" ht="18" customHeight="1">
      <c r="B42" s="8" t="s">
        <v>32</v>
      </c>
      <c r="C42" s="6" t="s">
        <v>33</v>
      </c>
      <c r="D42" s="44" t="s">
        <v>33</v>
      </c>
      <c r="E42" s="44" t="s">
        <v>33</v>
      </c>
      <c r="F42" s="45" t="s">
        <v>34</v>
      </c>
      <c r="G42" s="44" t="s">
        <v>33</v>
      </c>
      <c r="H42" s="45" t="s">
        <v>34</v>
      </c>
      <c r="I42" s="44" t="s">
        <v>33</v>
      </c>
    </row>
    <row r="43" spans="1:9" ht="18" customHeight="1">
      <c r="B43" s="8" t="s">
        <v>35</v>
      </c>
      <c r="C43" s="6" t="s">
        <v>63</v>
      </c>
      <c r="D43" s="44" t="s">
        <v>63</v>
      </c>
      <c r="E43" s="44" t="s">
        <v>63</v>
      </c>
      <c r="F43" s="45" t="s">
        <v>34</v>
      </c>
      <c r="G43" s="44" t="s">
        <v>63</v>
      </c>
      <c r="H43" s="45" t="s">
        <v>34</v>
      </c>
      <c r="I43" s="44" t="s">
        <v>63</v>
      </c>
    </row>
    <row r="44" spans="1:9" ht="18" customHeight="1">
      <c r="B44" s="8" t="s">
        <v>64</v>
      </c>
      <c r="C44" s="6" t="s">
        <v>65</v>
      </c>
      <c r="D44" s="10" t="s">
        <v>66</v>
      </c>
      <c r="E44" s="10" t="s">
        <v>65</v>
      </c>
      <c r="F44" s="6" t="s">
        <v>65</v>
      </c>
      <c r="G44" s="6" t="s">
        <v>65</v>
      </c>
      <c r="H44" s="6" t="s">
        <v>65</v>
      </c>
      <c r="I44" s="6" t="s">
        <v>65</v>
      </c>
    </row>
    <row r="45" spans="1:9" ht="18" customHeight="1">
      <c r="B45" s="8" t="s">
        <v>67</v>
      </c>
      <c r="C45" s="6" t="s">
        <v>65</v>
      </c>
      <c r="D45" s="6" t="s">
        <v>65</v>
      </c>
      <c r="E45" s="6" t="s">
        <v>65</v>
      </c>
      <c r="F45" s="10" t="s">
        <v>66</v>
      </c>
      <c r="G45" s="10" t="s">
        <v>65</v>
      </c>
      <c r="H45" s="6" t="s">
        <v>65</v>
      </c>
      <c r="I45" s="6" t="s">
        <v>65</v>
      </c>
    </row>
    <row r="46" spans="1:9" ht="18" customHeight="1">
      <c r="B46" s="8" t="s">
        <v>68</v>
      </c>
      <c r="C46" s="6" t="s">
        <v>65</v>
      </c>
      <c r="D46" s="6" t="s">
        <v>65</v>
      </c>
      <c r="E46" s="6" t="s">
        <v>65</v>
      </c>
      <c r="F46" s="6" t="s">
        <v>65</v>
      </c>
      <c r="G46" s="6" t="s">
        <v>65</v>
      </c>
      <c r="H46" s="10" t="s">
        <v>66</v>
      </c>
      <c r="I46" s="10" t="s">
        <v>65</v>
      </c>
    </row>
    <row r="47" spans="1:9" ht="18" customHeight="1">
      <c r="B47" s="8" t="s">
        <v>38</v>
      </c>
      <c r="C47" s="6" t="s">
        <v>39</v>
      </c>
      <c r="D47" s="6" t="s">
        <v>39</v>
      </c>
      <c r="E47" s="6" t="s">
        <v>39</v>
      </c>
      <c r="F47" s="11" t="s">
        <v>41</v>
      </c>
      <c r="G47" s="6" t="s">
        <v>39</v>
      </c>
      <c r="H47" s="11" t="s">
        <v>41</v>
      </c>
      <c r="I47" s="6" t="s">
        <v>39</v>
      </c>
    </row>
    <row r="49" spans="1:6" ht="18" customHeight="1">
      <c r="B49" s="14"/>
      <c r="C49" s="3" t="s">
        <v>46</v>
      </c>
    </row>
    <row r="50" spans="1:6" ht="18" customHeight="1">
      <c r="B50" s="15"/>
      <c r="C50" s="3" t="s">
        <v>47</v>
      </c>
    </row>
    <row r="51" spans="1:6" ht="18" customHeight="1">
      <c r="B51" s="16"/>
      <c r="C51" s="3" t="s">
        <v>48</v>
      </c>
    </row>
    <row r="54" spans="1:6" ht="18" customHeight="1">
      <c r="A54" s="3" t="s">
        <v>69</v>
      </c>
    </row>
    <row r="55" spans="1:6" ht="18" customHeight="1">
      <c r="C55" s="12" t="s">
        <v>25</v>
      </c>
      <c r="D55" s="12" t="s">
        <v>26</v>
      </c>
      <c r="E55" s="12" t="s">
        <v>27</v>
      </c>
      <c r="F55" s="12" t="s">
        <v>59</v>
      </c>
    </row>
    <row r="56" spans="1:6" ht="18" customHeight="1">
      <c r="B56" s="8" t="s">
        <v>31</v>
      </c>
      <c r="C56" s="41">
        <v>1</v>
      </c>
      <c r="D56" s="10">
        <v>0.1</v>
      </c>
      <c r="E56" s="10">
        <v>0.3</v>
      </c>
      <c r="F56" s="10">
        <v>0.6</v>
      </c>
    </row>
    <row r="57" spans="1:6" ht="18" customHeight="1">
      <c r="B57" s="8" t="s">
        <v>32</v>
      </c>
      <c r="C57" s="6" t="s">
        <v>33</v>
      </c>
      <c r="D57" s="7" t="s">
        <v>70</v>
      </c>
      <c r="E57" s="7" t="s">
        <v>70</v>
      </c>
      <c r="F57" s="7" t="s">
        <v>70</v>
      </c>
    </row>
    <row r="58" spans="1:6" ht="18" customHeight="1">
      <c r="B58" s="8" t="s">
        <v>35</v>
      </c>
      <c r="C58" s="6" t="s">
        <v>36</v>
      </c>
      <c r="D58" s="7" t="s">
        <v>63</v>
      </c>
      <c r="E58" s="7" t="s">
        <v>63</v>
      </c>
      <c r="F58" s="7" t="s">
        <v>63</v>
      </c>
    </row>
    <row r="59" spans="1:6" ht="18" customHeight="1">
      <c r="B59" s="8" t="s">
        <v>38</v>
      </c>
      <c r="C59" s="6" t="s">
        <v>71</v>
      </c>
      <c r="D59" s="11" t="s">
        <v>40</v>
      </c>
      <c r="E59" s="11" t="s">
        <v>72</v>
      </c>
      <c r="F59" s="11" t="s">
        <v>73</v>
      </c>
    </row>
    <row r="61" spans="1:6" ht="18" customHeight="1">
      <c r="B61" s="14"/>
      <c r="C61" s="3" t="s">
        <v>46</v>
      </c>
    </row>
    <row r="62" spans="1:6" ht="18" customHeight="1">
      <c r="B62" s="15"/>
      <c r="C62" s="3" t="s">
        <v>47</v>
      </c>
    </row>
    <row r="63" spans="1:6" ht="18" customHeight="1">
      <c r="B63" s="16"/>
      <c r="C63" s="3" t="s">
        <v>48</v>
      </c>
    </row>
    <row r="66" spans="1:8" ht="18" customHeight="1">
      <c r="A66" s="3" t="s">
        <v>74</v>
      </c>
    </row>
    <row r="67" spans="1:8" ht="18" customHeight="1">
      <c r="C67" s="12" t="s">
        <v>25</v>
      </c>
      <c r="D67" s="12" t="s">
        <v>26</v>
      </c>
      <c r="E67" s="12" t="s">
        <v>27</v>
      </c>
      <c r="F67" s="12" t="s">
        <v>59</v>
      </c>
      <c r="G67" s="12" t="s">
        <v>60</v>
      </c>
      <c r="H67" s="12" t="s">
        <v>61</v>
      </c>
    </row>
    <row r="68" spans="1:8" ht="18" customHeight="1">
      <c r="B68" s="8" t="s">
        <v>31</v>
      </c>
      <c r="C68" s="41">
        <v>1</v>
      </c>
      <c r="D68" s="41">
        <v>1</v>
      </c>
      <c r="E68" s="41">
        <v>1</v>
      </c>
      <c r="F68" s="41">
        <v>1</v>
      </c>
      <c r="G68" s="41">
        <v>1</v>
      </c>
      <c r="H68" s="41">
        <v>1</v>
      </c>
    </row>
    <row r="69" spans="1:8" ht="18" customHeight="1">
      <c r="B69" s="8" t="s">
        <v>32</v>
      </c>
      <c r="C69" s="6" t="s">
        <v>33</v>
      </c>
      <c r="D69" s="44" t="s">
        <v>34</v>
      </c>
      <c r="E69" s="7" t="s">
        <v>33</v>
      </c>
      <c r="F69" s="9" t="s">
        <v>34</v>
      </c>
      <c r="G69" s="6" t="s">
        <v>34</v>
      </c>
      <c r="H69" s="44" t="s">
        <v>75</v>
      </c>
    </row>
    <row r="70" spans="1:8" ht="18" customHeight="1">
      <c r="B70" s="8" t="s">
        <v>35</v>
      </c>
      <c r="C70" s="6" t="s">
        <v>63</v>
      </c>
      <c r="D70" s="44" t="s">
        <v>34</v>
      </c>
      <c r="E70" s="7" t="s">
        <v>36</v>
      </c>
      <c r="F70" s="6" t="s">
        <v>34</v>
      </c>
      <c r="G70" s="7" t="s">
        <v>76</v>
      </c>
      <c r="H70" s="44" t="s">
        <v>34</v>
      </c>
    </row>
    <row r="71" spans="1:8" ht="18" customHeight="1">
      <c r="B71" s="8" t="s">
        <v>38</v>
      </c>
      <c r="C71" s="6" t="s">
        <v>71</v>
      </c>
      <c r="D71" s="11" t="s">
        <v>41</v>
      </c>
      <c r="E71" s="7" t="s">
        <v>71</v>
      </c>
      <c r="F71" s="6" t="s">
        <v>41</v>
      </c>
      <c r="G71" s="50" t="s">
        <v>77</v>
      </c>
      <c r="H71" s="11" t="s">
        <v>41</v>
      </c>
    </row>
    <row r="72" spans="1:8" ht="18" customHeight="1">
      <c r="B72" s="8" t="s">
        <v>78</v>
      </c>
      <c r="C72" s="6" t="s">
        <v>44</v>
      </c>
      <c r="D72" s="10" t="s">
        <v>79</v>
      </c>
      <c r="E72" s="48" t="s">
        <v>80</v>
      </c>
      <c r="F72" s="6" t="s">
        <v>44</v>
      </c>
      <c r="G72" s="10" t="s">
        <v>76</v>
      </c>
      <c r="H72" s="41" t="s">
        <v>76</v>
      </c>
    </row>
    <row r="74" spans="1:8" ht="18" customHeight="1">
      <c r="B74" s="14"/>
      <c r="C74" s="3" t="s">
        <v>46</v>
      </c>
    </row>
    <row r="75" spans="1:8" ht="18" customHeight="1">
      <c r="B75" s="15"/>
      <c r="C75" s="3" t="s">
        <v>47</v>
      </c>
    </row>
    <row r="76" spans="1:8" ht="18" customHeight="1">
      <c r="B76" s="16"/>
      <c r="C76" s="3" t="s">
        <v>48</v>
      </c>
    </row>
  </sheetData>
  <phoneticPr fontId="2"/>
  <pageMargins left="0.7" right="0.7" top="0.75" bottom="0.75" header="0.3" footer="0.3"/>
  <pageSetup paperSize="9"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41FAE-B5F4-4308-A94C-E54C9F66D738}">
  <dimension ref="A1"/>
  <sheetViews>
    <sheetView workbookViewId="0">
      <selection activeCell="N18" sqref="N18"/>
    </sheetView>
  </sheetViews>
  <sheetFormatPr defaultRowHeight="1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CC510-5333-42C1-A8FF-06FAFEFF3673}">
  <sheetPr>
    <tabColor theme="0" tint="-0.34998626667073579"/>
    <pageSetUpPr fitToPage="1"/>
  </sheetPr>
  <dimension ref="B1:U69"/>
  <sheetViews>
    <sheetView view="pageBreakPreview" topLeftCell="A32" zoomScale="85" zoomScaleNormal="85" zoomScaleSheetLayoutView="85" workbookViewId="0">
      <selection activeCell="E37" sqref="E37"/>
    </sheetView>
  </sheetViews>
  <sheetFormatPr defaultColWidth="8.7265625" defaultRowHeight="15"/>
  <cols>
    <col min="1" max="1" width="1.7265625" style="3" customWidth="1"/>
    <col min="2" max="2" width="6.7265625" style="3" customWidth="1"/>
    <col min="3" max="3" width="4.26953125" style="3" customWidth="1"/>
    <col min="4" max="4" width="8.7265625" style="3" customWidth="1"/>
    <col min="5" max="5" width="35.7265625" style="3" customWidth="1"/>
    <col min="6" max="6" width="4.453125" style="3" customWidth="1"/>
    <col min="7" max="7" width="25.7265625" style="3" customWidth="1"/>
    <col min="8" max="8" width="4.453125" style="3" customWidth="1"/>
    <col min="9" max="9" width="30.7265625" style="3" customWidth="1"/>
    <col min="10" max="10" width="4.453125" style="3" customWidth="1"/>
    <col min="11" max="11" width="7.453125" style="3" bestFit="1" customWidth="1"/>
    <col min="12" max="12" width="1.7265625" style="3" customWidth="1"/>
    <col min="13" max="13" width="8.7265625" style="43"/>
    <col min="14" max="14" width="11.7265625" style="3" bestFit="1" customWidth="1"/>
    <col min="15" max="16384" width="8.7265625" style="3"/>
  </cols>
  <sheetData>
    <row r="1" spans="2:13" ht="21" customHeight="1">
      <c r="B1" s="13" t="s">
        <v>81</v>
      </c>
      <c r="C1" s="4"/>
      <c r="D1" s="4"/>
      <c r="K1" s="4"/>
    </row>
    <row r="2" spans="2:13" ht="16">
      <c r="B2" s="40"/>
      <c r="C2" s="39"/>
      <c r="D2" s="4"/>
      <c r="K2" s="4" t="s">
        <v>82</v>
      </c>
    </row>
    <row r="3" spans="2:13">
      <c r="B3" s="19" t="s">
        <v>83</v>
      </c>
      <c r="C3" s="25" t="s">
        <v>84</v>
      </c>
      <c r="D3" s="23"/>
      <c r="E3" s="23"/>
      <c r="F3" s="23"/>
      <c r="G3" s="23"/>
      <c r="H3" s="23"/>
      <c r="I3" s="23"/>
      <c r="J3" s="23"/>
      <c r="K3" s="35"/>
    </row>
    <row r="4" spans="2:13">
      <c r="B4" s="20"/>
      <c r="C4" s="25" t="s">
        <v>85</v>
      </c>
      <c r="K4" s="17"/>
    </row>
    <row r="5" spans="2:13">
      <c r="B5" s="20"/>
      <c r="C5" s="25"/>
      <c r="K5" s="17"/>
    </row>
    <row r="6" spans="2:13">
      <c r="B6" s="21"/>
      <c r="C6" s="26"/>
      <c r="D6" s="27"/>
      <c r="E6" s="27"/>
      <c r="F6" s="27"/>
      <c r="G6" s="27"/>
      <c r="H6" s="27"/>
      <c r="I6" s="27" t="s">
        <v>86</v>
      </c>
      <c r="J6" s="27"/>
      <c r="K6" s="36"/>
    </row>
    <row r="7" spans="2:13">
      <c r="B7" s="19" t="s">
        <v>87</v>
      </c>
      <c r="C7" s="22" t="s">
        <v>88</v>
      </c>
      <c r="D7" s="23"/>
      <c r="E7" s="23"/>
      <c r="F7" s="23"/>
      <c r="G7" s="23"/>
      <c r="H7" s="23"/>
      <c r="I7" s="23"/>
      <c r="J7" s="23"/>
      <c r="K7" s="35"/>
    </row>
    <row r="8" spans="2:13">
      <c r="B8" s="20"/>
      <c r="C8" s="25" t="s">
        <v>89</v>
      </c>
      <c r="K8" s="17"/>
    </row>
    <row r="9" spans="2:13">
      <c r="B9" s="21"/>
      <c r="C9" s="26"/>
      <c r="D9" s="27"/>
      <c r="E9" s="27"/>
      <c r="F9" s="27"/>
      <c r="G9" s="27"/>
      <c r="H9" s="27"/>
      <c r="I9" s="27"/>
      <c r="J9" s="27"/>
      <c r="K9" s="36"/>
    </row>
    <row r="10" spans="2:13">
      <c r="B10" s="19" t="s">
        <v>90</v>
      </c>
      <c r="C10" s="3" t="s">
        <v>91</v>
      </c>
      <c r="F10" s="23"/>
      <c r="G10" s="23"/>
      <c r="H10" s="23"/>
      <c r="I10" s="23"/>
      <c r="J10" s="23"/>
      <c r="K10" s="24" t="s">
        <v>26</v>
      </c>
      <c r="M10" s="43" t="s">
        <v>92</v>
      </c>
    </row>
    <row r="11" spans="2:13">
      <c r="B11" s="29"/>
      <c r="C11" s="3" t="s">
        <v>93</v>
      </c>
      <c r="K11" s="18"/>
      <c r="M11" s="43" t="s">
        <v>94</v>
      </c>
    </row>
    <row r="12" spans="2:13">
      <c r="B12" s="29"/>
      <c r="K12" s="18" t="s">
        <v>27</v>
      </c>
    </row>
    <row r="13" spans="2:13">
      <c r="B13" s="29"/>
      <c r="C13" s="3" t="s">
        <v>95</v>
      </c>
      <c r="K13" s="18" t="s">
        <v>59</v>
      </c>
      <c r="M13" s="43" t="s">
        <v>96</v>
      </c>
    </row>
    <row r="14" spans="2:13">
      <c r="B14" s="29"/>
      <c r="C14" s="3" t="s">
        <v>97</v>
      </c>
      <c r="K14" s="18"/>
    </row>
    <row r="15" spans="2:13">
      <c r="B15" s="29"/>
      <c r="K15" s="18" t="s">
        <v>60</v>
      </c>
    </row>
    <row r="16" spans="2:13">
      <c r="B16" s="29"/>
      <c r="C16" s="3" t="s">
        <v>98</v>
      </c>
      <c r="K16" s="18" t="s">
        <v>61</v>
      </c>
    </row>
    <row r="17" spans="2:11">
      <c r="B17" s="29"/>
      <c r="C17" s="3" t="s">
        <v>99</v>
      </c>
      <c r="K17" s="18"/>
    </row>
    <row r="18" spans="2:11">
      <c r="B18" s="29"/>
      <c r="K18" s="18" t="s">
        <v>62</v>
      </c>
    </row>
    <row r="19" spans="2:11">
      <c r="B19" s="29"/>
      <c r="K19" s="18"/>
    </row>
    <row r="20" spans="2:11">
      <c r="B20" s="29"/>
      <c r="K20" s="18"/>
    </row>
    <row r="21" spans="2:11">
      <c r="B21" s="29"/>
      <c r="K21" s="18"/>
    </row>
    <row r="22" spans="2:11">
      <c r="B22" s="29"/>
      <c r="K22" s="18"/>
    </row>
    <row r="23" spans="2:11">
      <c r="B23" s="29"/>
      <c r="K23" s="18"/>
    </row>
    <row r="24" spans="2:11">
      <c r="B24" s="29"/>
      <c r="K24" s="18"/>
    </row>
    <row r="25" spans="2:11">
      <c r="B25" s="29"/>
      <c r="K25" s="18"/>
    </row>
    <row r="26" spans="2:11">
      <c r="B26" s="29"/>
      <c r="K26" s="18"/>
    </row>
    <row r="27" spans="2:11">
      <c r="B27" s="29"/>
      <c r="K27" s="18"/>
    </row>
    <row r="28" spans="2:11">
      <c r="B28" s="29"/>
      <c r="K28" s="18"/>
    </row>
    <row r="29" spans="2:11">
      <c r="B29" s="29"/>
      <c r="K29" s="18"/>
    </row>
    <row r="30" spans="2:11">
      <c r="B30" s="30"/>
      <c r="C30" s="32"/>
      <c r="D30" s="27"/>
      <c r="E30" s="27"/>
      <c r="F30" s="27"/>
      <c r="G30" s="27"/>
      <c r="H30" s="27"/>
      <c r="I30" s="27"/>
      <c r="J30" s="27"/>
      <c r="K30" s="28"/>
    </row>
    <row r="31" spans="2:11">
      <c r="B31" s="129" t="s">
        <v>100</v>
      </c>
      <c r="C31" s="130"/>
      <c r="D31" s="130"/>
      <c r="E31" s="130"/>
      <c r="F31" s="130"/>
      <c r="G31" s="130"/>
      <c r="H31" s="130"/>
      <c r="I31" s="130"/>
      <c r="J31" s="130"/>
      <c r="K31" s="131"/>
    </row>
    <row r="32" spans="2:11">
      <c r="B32" s="19" t="s">
        <v>101</v>
      </c>
      <c r="C32" s="110" t="s">
        <v>102</v>
      </c>
      <c r="D32" s="111" t="s">
        <v>103</v>
      </c>
      <c r="E32" s="113" t="s">
        <v>104</v>
      </c>
      <c r="F32" s="114"/>
      <c r="G32" s="114"/>
      <c r="H32" s="114"/>
      <c r="I32" s="114"/>
      <c r="J32" s="115"/>
      <c r="K32" s="111" t="s">
        <v>105</v>
      </c>
    </row>
    <row r="33" spans="2:21">
      <c r="B33" s="31"/>
      <c r="C33" s="110"/>
      <c r="D33" s="112"/>
      <c r="E33" s="110" t="s">
        <v>106</v>
      </c>
      <c r="F33" s="110"/>
      <c r="G33" s="110" t="s">
        <v>107</v>
      </c>
      <c r="H33" s="110"/>
      <c r="I33" s="110" t="s">
        <v>108</v>
      </c>
      <c r="J33" s="110"/>
      <c r="K33" s="112"/>
    </row>
    <row r="34" spans="2:21" ht="40.15" customHeight="1">
      <c r="B34" s="31"/>
      <c r="C34" s="6">
        <v>1</v>
      </c>
      <c r="D34" s="37">
        <v>0.38194444444444442</v>
      </c>
      <c r="E34" s="34" t="s">
        <v>109</v>
      </c>
      <c r="F34" s="5"/>
      <c r="G34" s="95" t="s">
        <v>110</v>
      </c>
      <c r="H34" s="33"/>
      <c r="I34" s="34" t="s">
        <v>111</v>
      </c>
      <c r="J34" s="5"/>
      <c r="K34" s="5"/>
      <c r="O34" s="3" t="s">
        <v>112</v>
      </c>
      <c r="P34" s="3" t="s">
        <v>113</v>
      </c>
      <c r="Q34" s="3" t="s">
        <v>114</v>
      </c>
      <c r="R34" s="3" t="s">
        <v>115</v>
      </c>
      <c r="S34" s="3" t="s">
        <v>116</v>
      </c>
      <c r="T34" s="3" t="s">
        <v>117</v>
      </c>
      <c r="U34" s="3" t="s">
        <v>118</v>
      </c>
    </row>
    <row r="35" spans="2:21" ht="40.15" customHeight="1">
      <c r="B35" s="31"/>
      <c r="C35" s="6">
        <v>2</v>
      </c>
      <c r="D35" s="85">
        <v>0.3888888888888889</v>
      </c>
      <c r="E35" s="34" t="s">
        <v>119</v>
      </c>
      <c r="F35" s="5" t="s">
        <v>120</v>
      </c>
      <c r="G35" s="88">
        <v>46083</v>
      </c>
      <c r="H35" s="33"/>
      <c r="I35" s="95" t="s">
        <v>121</v>
      </c>
      <c r="J35" s="33"/>
      <c r="K35" s="128" t="s">
        <v>26</v>
      </c>
      <c r="M35" s="43">
        <v>3.472222222222222E-3</v>
      </c>
      <c r="N35" s="86">
        <v>0.62152777777777779</v>
      </c>
      <c r="O35" s="3">
        <v>142</v>
      </c>
      <c r="P35" s="3">
        <v>57</v>
      </c>
      <c r="Q35" s="3">
        <v>48</v>
      </c>
      <c r="R35" s="3">
        <v>50</v>
      </c>
    </row>
    <row r="36" spans="2:21" ht="40.15" customHeight="1">
      <c r="B36" s="29"/>
      <c r="C36" s="6">
        <v>3</v>
      </c>
      <c r="D36" s="85">
        <v>0.39583333333333331</v>
      </c>
      <c r="E36" s="34" t="s">
        <v>122</v>
      </c>
      <c r="F36" s="5" t="s">
        <v>120</v>
      </c>
      <c r="G36" s="88">
        <v>46083</v>
      </c>
      <c r="H36" s="33"/>
      <c r="I36" s="33"/>
      <c r="J36" s="33"/>
      <c r="K36" s="128"/>
      <c r="M36" s="43">
        <v>1.0416666666666666E-2</v>
      </c>
    </row>
    <row r="37" spans="2:21" ht="40.15" customHeight="1">
      <c r="B37" s="29"/>
      <c r="C37" s="46">
        <v>4</v>
      </c>
      <c r="D37" s="96">
        <v>0.40277777777777779</v>
      </c>
      <c r="E37" s="97" t="s">
        <v>123</v>
      </c>
      <c r="F37" s="98"/>
      <c r="G37" s="99"/>
      <c r="H37" s="100"/>
      <c r="I37" s="100"/>
      <c r="J37" s="100"/>
      <c r="K37" s="46"/>
    </row>
    <row r="38" spans="2:21" ht="40.15" customHeight="1">
      <c r="B38" s="129" t="s">
        <v>82</v>
      </c>
      <c r="C38" s="130"/>
      <c r="D38" s="130"/>
      <c r="E38" s="130"/>
      <c r="F38" s="130"/>
      <c r="G38" s="130"/>
      <c r="H38" s="130"/>
      <c r="I38" s="130"/>
      <c r="J38" s="130"/>
      <c r="K38" s="131"/>
    </row>
    <row r="39" spans="2:21" ht="40.15" customHeight="1">
      <c r="B39" s="5"/>
      <c r="C39" s="6">
        <v>1</v>
      </c>
      <c r="D39" s="37">
        <v>0.58333333333333337</v>
      </c>
      <c r="E39" s="34" t="s">
        <v>124</v>
      </c>
      <c r="F39" s="5"/>
      <c r="G39" s="95" t="s">
        <v>110</v>
      </c>
      <c r="H39" s="33"/>
      <c r="I39" s="34" t="s">
        <v>111</v>
      </c>
      <c r="J39" s="5"/>
      <c r="K39" s="5"/>
      <c r="M39" s="43">
        <v>1.7361111111111112E-2</v>
      </c>
    </row>
    <row r="40" spans="2:21" ht="40.15" customHeight="1">
      <c r="B40" s="29"/>
      <c r="C40" s="47">
        <v>2</v>
      </c>
      <c r="D40" s="105">
        <v>0.59027777777777779</v>
      </c>
      <c r="E40" s="101" t="s">
        <v>125</v>
      </c>
      <c r="F40" s="102" t="s">
        <v>120</v>
      </c>
      <c r="G40" s="103">
        <v>46083</v>
      </c>
      <c r="H40" s="104"/>
      <c r="I40" s="104"/>
      <c r="J40" s="104"/>
      <c r="K40" s="47" t="s">
        <v>27</v>
      </c>
      <c r="M40" s="43">
        <v>2.0833333333333332E-2</v>
      </c>
      <c r="N40" s="86">
        <v>0.61458333333333337</v>
      </c>
      <c r="O40" s="3">
        <v>251</v>
      </c>
      <c r="P40" s="3">
        <v>82</v>
      </c>
      <c r="Q40" s="3">
        <v>86</v>
      </c>
      <c r="R40" s="3">
        <v>87</v>
      </c>
    </row>
    <row r="41" spans="2:21" ht="40.15" hidden="1" customHeight="1">
      <c r="B41" s="29"/>
      <c r="C41" s="6">
        <v>6</v>
      </c>
      <c r="D41" s="106">
        <v>0.59722222222222221</v>
      </c>
      <c r="E41" s="34" t="s">
        <v>126</v>
      </c>
      <c r="F41" s="5" t="s">
        <v>120</v>
      </c>
      <c r="G41" s="88">
        <v>46083</v>
      </c>
      <c r="H41" s="33"/>
      <c r="I41" s="33"/>
      <c r="J41" s="33"/>
      <c r="K41" s="46" t="s">
        <v>59</v>
      </c>
      <c r="M41" s="43">
        <v>2.4305555555555556E-2</v>
      </c>
    </row>
    <row r="42" spans="2:21" ht="40.15" hidden="1" customHeight="1">
      <c r="B42" s="29"/>
      <c r="C42" s="6">
        <v>6</v>
      </c>
      <c r="D42" s="106">
        <v>0.61875000000000002</v>
      </c>
      <c r="E42" s="34" t="s">
        <v>126</v>
      </c>
      <c r="F42" s="5" t="s">
        <v>120</v>
      </c>
      <c r="G42" s="88">
        <v>46083</v>
      </c>
      <c r="H42" s="33"/>
      <c r="I42" s="33"/>
      <c r="J42" s="33"/>
      <c r="K42" s="87"/>
      <c r="M42" s="43">
        <v>2.7777777777777776E-2</v>
      </c>
    </row>
    <row r="43" spans="2:21" ht="40.15" hidden="1" customHeight="1">
      <c r="B43" s="29"/>
      <c r="C43" s="6">
        <v>7</v>
      </c>
      <c r="D43" s="106">
        <v>0.62013888888888891</v>
      </c>
      <c r="E43" s="34" t="s">
        <v>127</v>
      </c>
      <c r="F43" s="5" t="s">
        <v>120</v>
      </c>
      <c r="G43" s="88">
        <v>46083</v>
      </c>
      <c r="H43" s="33"/>
      <c r="I43" s="33"/>
      <c r="J43" s="33"/>
      <c r="K43" s="6" t="s">
        <v>60</v>
      </c>
      <c r="M43" s="43">
        <v>3.125E-2</v>
      </c>
      <c r="S43" s="3">
        <v>9</v>
      </c>
      <c r="T43" s="3">
        <v>9</v>
      </c>
      <c r="U43" s="3">
        <v>9</v>
      </c>
    </row>
    <row r="44" spans="2:21" ht="40.15" hidden="1" customHeight="1">
      <c r="B44" s="29"/>
      <c r="C44" s="6">
        <v>8</v>
      </c>
      <c r="D44" s="106">
        <v>0.40694444444444444</v>
      </c>
      <c r="E44" s="34" t="s">
        <v>128</v>
      </c>
      <c r="F44" s="5" t="s">
        <v>120</v>
      </c>
      <c r="G44" s="88">
        <v>46084</v>
      </c>
      <c r="H44" s="33"/>
      <c r="I44" s="33"/>
      <c r="J44" s="33"/>
      <c r="K44" s="46" t="s">
        <v>61</v>
      </c>
      <c r="M44" s="43">
        <v>3.4722222222222224E-2</v>
      </c>
      <c r="S44" s="3">
        <v>0</v>
      </c>
      <c r="T44" s="3">
        <v>0</v>
      </c>
      <c r="U44" s="3">
        <v>0</v>
      </c>
    </row>
    <row r="45" spans="2:21" ht="40.15" hidden="1" customHeight="1">
      <c r="B45" s="29"/>
      <c r="C45" s="6">
        <v>9</v>
      </c>
      <c r="D45" s="106">
        <v>0.41041666666666665</v>
      </c>
      <c r="E45" s="34" t="s">
        <v>129</v>
      </c>
      <c r="F45" s="5" t="s">
        <v>120</v>
      </c>
      <c r="G45" s="88">
        <v>46084</v>
      </c>
      <c r="H45" s="33"/>
      <c r="I45" s="33"/>
      <c r="J45" s="33"/>
      <c r="K45" s="87"/>
      <c r="M45" s="43">
        <v>3.8194444444444448E-2</v>
      </c>
      <c r="S45" s="3">
        <v>8.6999999999999993</v>
      </c>
      <c r="T45" s="3">
        <v>8.1</v>
      </c>
      <c r="U45" s="3">
        <v>8.5</v>
      </c>
    </row>
    <row r="46" spans="2:21" ht="40.15" customHeight="1">
      <c r="B46" s="29"/>
      <c r="C46" s="47">
        <v>3</v>
      </c>
      <c r="D46" s="105">
        <v>0.59375</v>
      </c>
      <c r="E46" s="101" t="s">
        <v>125</v>
      </c>
      <c r="F46" s="102" t="s">
        <v>120</v>
      </c>
      <c r="G46" s="103">
        <v>46083</v>
      </c>
      <c r="H46" s="104"/>
      <c r="I46" s="104"/>
      <c r="J46" s="104"/>
      <c r="K46" s="47" t="s">
        <v>27</v>
      </c>
    </row>
    <row r="47" spans="2:21" ht="36" customHeight="1">
      <c r="B47" s="30"/>
      <c r="C47" s="6">
        <v>3</v>
      </c>
      <c r="D47" s="106">
        <v>0.59444444444444444</v>
      </c>
      <c r="E47" s="34" t="s">
        <v>130</v>
      </c>
      <c r="F47" s="5" t="s">
        <v>120</v>
      </c>
      <c r="G47" s="88">
        <v>46084</v>
      </c>
      <c r="H47" s="33"/>
      <c r="I47" s="33"/>
      <c r="J47" s="33"/>
      <c r="K47" s="6" t="s">
        <v>62</v>
      </c>
    </row>
    <row r="48" spans="2:21" ht="19.899999999999999" customHeight="1"/>
    <row r="49" spans="4:5" ht="19.899999999999999" customHeight="1">
      <c r="D49" s="4" t="s">
        <v>131</v>
      </c>
      <c r="E49" s="3" t="s">
        <v>132</v>
      </c>
    </row>
    <row r="50" spans="4:5" ht="19.899999999999999" customHeight="1">
      <c r="E50" s="3" t="s">
        <v>133</v>
      </c>
    </row>
    <row r="51" spans="4:5" ht="19.899999999999999" customHeight="1">
      <c r="D51" s="4"/>
    </row>
    <row r="52" spans="4:5" ht="19.899999999999999" customHeight="1"/>
    <row r="53" spans="4:5" ht="19.899999999999999" customHeight="1"/>
    <row r="54" spans="4:5" ht="19.899999999999999" customHeight="1"/>
    <row r="55" spans="4:5" ht="19.899999999999999" customHeight="1"/>
    <row r="56" spans="4:5" ht="19.899999999999999" customHeight="1"/>
    <row r="57" spans="4:5" ht="19.899999999999999" customHeight="1"/>
    <row r="58" spans="4:5" ht="19.899999999999999" customHeight="1"/>
    <row r="59" spans="4:5" ht="19.899999999999999" customHeight="1"/>
    <row r="60" spans="4:5" ht="19.899999999999999" customHeight="1"/>
    <row r="61" spans="4:5" ht="19.899999999999999" customHeight="1"/>
    <row r="62" spans="4:5" ht="19.899999999999999" customHeight="1"/>
    <row r="63" spans="4:5" ht="19.899999999999999" customHeight="1"/>
    <row r="64" spans="4:5" ht="19.899999999999999" customHeight="1"/>
    <row r="65" ht="19.899999999999999" customHeight="1"/>
    <row r="66" ht="19.899999999999999" customHeight="1"/>
    <row r="67" ht="19.899999999999999" customHeight="1"/>
    <row r="68" ht="19.899999999999999" customHeight="1"/>
    <row r="69" ht="19.899999999999999" customHeight="1"/>
  </sheetData>
  <mergeCells count="10">
    <mergeCell ref="K35:K36"/>
    <mergeCell ref="B38:K38"/>
    <mergeCell ref="B31:K31"/>
    <mergeCell ref="C32:C33"/>
    <mergeCell ref="K32:K33"/>
    <mergeCell ref="E33:F33"/>
    <mergeCell ref="G33:H33"/>
    <mergeCell ref="I33:J33"/>
    <mergeCell ref="D32:D33"/>
    <mergeCell ref="E32:J32"/>
  </mergeCells>
  <phoneticPr fontId="2"/>
  <pageMargins left="0.31496062992125984" right="0.31496062992125984" top="0.74803149606299213" bottom="0.74803149606299213" header="0.31496062992125984" footer="0.31496062992125984"/>
  <pageSetup paperSize="9" scale="41"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7B8B5-C43D-4515-B37D-12222444E264}">
  <sheetPr>
    <pageSetUpPr fitToPage="1"/>
  </sheetPr>
  <dimension ref="B1:M61"/>
  <sheetViews>
    <sheetView view="pageBreakPreview" topLeftCell="A32" zoomScale="85" zoomScaleNormal="85" zoomScaleSheetLayoutView="85" workbookViewId="0">
      <selection activeCell="E38" sqref="E38"/>
    </sheetView>
  </sheetViews>
  <sheetFormatPr defaultColWidth="8.7265625" defaultRowHeight="15"/>
  <cols>
    <col min="1" max="1" width="1.7265625" style="3" customWidth="1"/>
    <col min="2" max="2" width="8.7265625" style="3" customWidth="1"/>
    <col min="3" max="3" width="5" style="3" customWidth="1"/>
    <col min="4" max="4" width="11.36328125" style="3" customWidth="1"/>
    <col min="5" max="5" width="35.7265625" style="3" customWidth="1"/>
    <col min="6" max="6" width="4.453125" style="3" customWidth="1"/>
    <col min="7" max="7" width="25.7265625" style="3" customWidth="1"/>
    <col min="8" max="8" width="4.453125" style="3" customWidth="1"/>
    <col min="9" max="9" width="30.7265625" style="3" customWidth="1"/>
    <col min="10" max="10" width="4.453125" style="3" customWidth="1"/>
    <col min="11" max="11" width="7.453125" style="3" bestFit="1" customWidth="1"/>
    <col min="12" max="12" width="1.7265625" style="3" customWidth="1"/>
    <col min="13" max="13" width="9" style="134"/>
    <col min="14" max="14" width="11.7265625" style="3" bestFit="1" customWidth="1"/>
    <col min="15" max="16384" width="8.7265625" style="3"/>
  </cols>
  <sheetData>
    <row r="1" spans="2:11" ht="21" customHeight="1">
      <c r="B1" s="13" t="s">
        <v>134</v>
      </c>
      <c r="C1" s="4"/>
      <c r="D1" s="4"/>
      <c r="K1" s="4"/>
    </row>
    <row r="2" spans="2:11" ht="16">
      <c r="B2" s="40"/>
      <c r="C2" s="4"/>
      <c r="D2" s="4"/>
      <c r="J2" s="4" t="s">
        <v>82</v>
      </c>
      <c r="K2" s="4"/>
    </row>
    <row r="3" spans="2:11">
      <c r="B3" s="19" t="s">
        <v>83</v>
      </c>
      <c r="C3" s="22" t="s">
        <v>135</v>
      </c>
      <c r="D3" s="23"/>
      <c r="E3" s="23"/>
      <c r="F3" s="23"/>
      <c r="G3" s="23"/>
      <c r="H3" s="23"/>
      <c r="I3" s="23"/>
      <c r="J3" s="23"/>
      <c r="K3" s="35"/>
    </row>
    <row r="4" spans="2:11">
      <c r="B4" s="20"/>
      <c r="C4" s="25"/>
      <c r="K4" s="17"/>
    </row>
    <row r="5" spans="2:11">
      <c r="B5" s="20"/>
      <c r="C5" s="25"/>
      <c r="K5" s="17"/>
    </row>
    <row r="6" spans="2:11">
      <c r="B6" s="21"/>
      <c r="C6" s="26"/>
      <c r="D6" s="27"/>
      <c r="E6" s="27"/>
      <c r="F6" s="27"/>
      <c r="G6" s="27"/>
      <c r="H6" s="27"/>
      <c r="I6" s="27" t="s">
        <v>136</v>
      </c>
      <c r="J6" s="27"/>
      <c r="K6" s="36"/>
    </row>
    <row r="7" spans="2:11">
      <c r="B7" s="19" t="s">
        <v>87</v>
      </c>
      <c r="C7" s="22" t="s">
        <v>88</v>
      </c>
      <c r="D7" s="23"/>
      <c r="E7" s="23"/>
      <c r="F7" s="23"/>
      <c r="G7" s="23"/>
      <c r="H7" s="23"/>
      <c r="I7" s="23"/>
      <c r="J7" s="23"/>
      <c r="K7" s="35"/>
    </row>
    <row r="8" spans="2:11">
      <c r="B8" s="20"/>
      <c r="C8" s="25" t="s">
        <v>89</v>
      </c>
      <c r="K8" s="17"/>
    </row>
    <row r="9" spans="2:11">
      <c r="B9" s="21"/>
      <c r="C9" s="26"/>
      <c r="D9" s="27"/>
      <c r="E9" s="27"/>
      <c r="F9" s="27"/>
      <c r="G9" s="27"/>
      <c r="H9" s="27"/>
      <c r="I9" s="27"/>
      <c r="J9" s="27"/>
      <c r="K9" s="36"/>
    </row>
    <row r="10" spans="2:11">
      <c r="B10" s="19" t="s">
        <v>90</v>
      </c>
      <c r="C10" s="3" t="s">
        <v>137</v>
      </c>
      <c r="D10" s="23"/>
      <c r="E10" s="23"/>
      <c r="F10" s="23"/>
      <c r="G10" s="23"/>
      <c r="H10" s="23"/>
      <c r="I10" s="23"/>
      <c r="J10" s="23"/>
      <c r="K10" s="24"/>
    </row>
    <row r="11" spans="2:11">
      <c r="B11" s="29"/>
      <c r="K11" s="18"/>
    </row>
    <row r="12" spans="2:11">
      <c r="B12" s="29"/>
      <c r="C12" s="3" t="s">
        <v>138</v>
      </c>
      <c r="K12" s="18" t="s">
        <v>26</v>
      </c>
    </row>
    <row r="13" spans="2:11">
      <c r="B13" s="29"/>
      <c r="C13" s="3" t="s">
        <v>139</v>
      </c>
      <c r="K13" s="18" t="s">
        <v>27</v>
      </c>
    </row>
    <row r="14" spans="2:11">
      <c r="B14" s="29"/>
      <c r="C14" s="3" t="s">
        <v>140</v>
      </c>
      <c r="K14" s="18" t="s">
        <v>59</v>
      </c>
    </row>
    <row r="15" spans="2:11">
      <c r="B15" s="29"/>
      <c r="C15" s="3" t="s">
        <v>141</v>
      </c>
      <c r="K15" s="18"/>
    </row>
    <row r="16" spans="2:11">
      <c r="B16" s="29"/>
      <c r="K16" s="18"/>
    </row>
    <row r="17" spans="2:13">
      <c r="B17" s="29"/>
      <c r="K17" s="18"/>
    </row>
    <row r="18" spans="2:13">
      <c r="B18" s="29"/>
      <c r="K18" s="18"/>
    </row>
    <row r="19" spans="2:13">
      <c r="B19" s="29"/>
      <c r="K19" s="18"/>
    </row>
    <row r="20" spans="2:13">
      <c r="B20" s="29"/>
      <c r="K20" s="18"/>
    </row>
    <row r="21" spans="2:13">
      <c r="B21" s="29"/>
      <c r="K21" s="18"/>
    </row>
    <row r="22" spans="2:13">
      <c r="B22" s="29"/>
      <c r="K22" s="18"/>
    </row>
    <row r="23" spans="2:13">
      <c r="B23" s="29"/>
      <c r="K23" s="18"/>
    </row>
    <row r="24" spans="2:13">
      <c r="B24" s="29"/>
      <c r="K24" s="18"/>
    </row>
    <row r="25" spans="2:13">
      <c r="B25" s="29"/>
      <c r="K25" s="18"/>
    </row>
    <row r="26" spans="2:13">
      <c r="B26" s="30"/>
      <c r="C26" s="32"/>
      <c r="D26" s="27"/>
      <c r="E26" s="27"/>
      <c r="F26" s="27"/>
      <c r="G26" s="27"/>
      <c r="H26" s="27"/>
      <c r="I26" s="27"/>
      <c r="J26" s="27"/>
      <c r="K26" s="28"/>
    </row>
    <row r="28" spans="2:13">
      <c r="B28" s="19" t="s">
        <v>101</v>
      </c>
      <c r="C28" s="110" t="s">
        <v>102</v>
      </c>
      <c r="D28" s="111" t="s">
        <v>103</v>
      </c>
      <c r="E28" s="113" t="s">
        <v>104</v>
      </c>
      <c r="F28" s="114"/>
      <c r="G28" s="114"/>
      <c r="H28" s="114"/>
      <c r="I28" s="114"/>
      <c r="J28" s="115"/>
      <c r="K28" s="111" t="s">
        <v>105</v>
      </c>
      <c r="M28" s="3"/>
    </row>
    <row r="29" spans="2:13">
      <c r="B29" s="31"/>
      <c r="C29" s="110"/>
      <c r="D29" s="112"/>
      <c r="E29" s="110" t="s">
        <v>106</v>
      </c>
      <c r="F29" s="110"/>
      <c r="G29" s="110" t="s">
        <v>107</v>
      </c>
      <c r="H29" s="110"/>
      <c r="I29" s="110" t="s">
        <v>108</v>
      </c>
      <c r="J29" s="110"/>
      <c r="K29" s="112"/>
    </row>
    <row r="30" spans="2:13" ht="40.15" customHeight="1">
      <c r="B30" s="31"/>
      <c r="C30" s="6">
        <v>1</v>
      </c>
      <c r="D30" s="37">
        <v>0.60416666666666663</v>
      </c>
      <c r="E30" s="5" t="s">
        <v>142</v>
      </c>
      <c r="F30" s="5"/>
      <c r="G30" s="33"/>
      <c r="H30" s="33"/>
      <c r="I30" s="5" t="s">
        <v>111</v>
      </c>
      <c r="J30" s="5"/>
      <c r="K30" s="5"/>
      <c r="M30" s="42"/>
    </row>
    <row r="31" spans="2:13" ht="40.15" customHeight="1">
      <c r="B31" s="31"/>
      <c r="C31" s="6">
        <v>2</v>
      </c>
      <c r="D31" s="85">
        <v>0.625</v>
      </c>
      <c r="E31" s="5" t="s">
        <v>143</v>
      </c>
      <c r="F31" s="5" t="s">
        <v>120</v>
      </c>
      <c r="G31" s="88">
        <v>46085</v>
      </c>
      <c r="H31" s="33"/>
      <c r="I31" s="33"/>
      <c r="J31" s="33"/>
      <c r="K31" s="107" t="s">
        <v>26</v>
      </c>
      <c r="M31" s="43">
        <v>3.472222222222222E-3</v>
      </c>
    </row>
    <row r="32" spans="2:13" ht="40.15" customHeight="1">
      <c r="B32" s="29"/>
      <c r="C32" s="6">
        <v>3</v>
      </c>
      <c r="D32" s="85">
        <v>0.62569444444444444</v>
      </c>
      <c r="E32" s="5" t="s">
        <v>144</v>
      </c>
      <c r="F32" s="5" t="s">
        <v>120</v>
      </c>
      <c r="G32" s="88">
        <v>46085</v>
      </c>
      <c r="H32" s="33"/>
      <c r="I32" s="33"/>
      <c r="J32" s="33"/>
      <c r="K32" s="108"/>
      <c r="M32" s="43">
        <v>1.0416666666666666E-2</v>
      </c>
    </row>
    <row r="33" spans="2:13" ht="40.15" customHeight="1">
      <c r="B33" s="29"/>
      <c r="C33" s="6">
        <v>4</v>
      </c>
      <c r="D33" s="85">
        <v>0.63194444444444442</v>
      </c>
      <c r="E33" s="5" t="s">
        <v>145</v>
      </c>
      <c r="F33" s="5" t="s">
        <v>120</v>
      </c>
      <c r="G33" s="88">
        <v>46085</v>
      </c>
      <c r="H33" s="33"/>
      <c r="I33" s="33"/>
      <c r="J33" s="33"/>
      <c r="K33" s="109"/>
      <c r="M33" s="43">
        <v>1.7361111111111112E-2</v>
      </c>
    </row>
    <row r="34" spans="2:13" ht="40.15" customHeight="1">
      <c r="B34" s="29"/>
      <c r="C34" s="6">
        <v>5</v>
      </c>
      <c r="D34" s="85">
        <v>0.64583333333333337</v>
      </c>
      <c r="E34" s="5" t="s">
        <v>146</v>
      </c>
      <c r="F34" s="5" t="s">
        <v>120</v>
      </c>
      <c r="G34" s="88">
        <v>46085</v>
      </c>
      <c r="H34" s="33"/>
      <c r="I34" s="33"/>
      <c r="J34" s="33"/>
      <c r="K34" s="107" t="s">
        <v>27</v>
      </c>
      <c r="M34" s="43">
        <v>2.4305555555555556E-2</v>
      </c>
    </row>
    <row r="35" spans="2:13" ht="40.15" customHeight="1">
      <c r="B35" s="29"/>
      <c r="C35" s="6">
        <v>6</v>
      </c>
      <c r="D35" s="85">
        <v>0.64583333333333337</v>
      </c>
      <c r="E35" s="5" t="s">
        <v>147</v>
      </c>
      <c r="F35" s="5" t="s">
        <v>120</v>
      </c>
      <c r="G35" s="88">
        <v>46085</v>
      </c>
      <c r="H35" s="33"/>
      <c r="I35" s="33"/>
      <c r="J35" s="33"/>
      <c r="K35" s="108"/>
      <c r="M35" s="43">
        <v>3.125E-2</v>
      </c>
    </row>
    <row r="36" spans="2:13" ht="40.15" customHeight="1">
      <c r="B36" s="29"/>
      <c r="C36" s="6">
        <v>7</v>
      </c>
      <c r="D36" s="85">
        <v>0.64652777777777781</v>
      </c>
      <c r="E36" s="5" t="s">
        <v>148</v>
      </c>
      <c r="F36" s="5" t="s">
        <v>120</v>
      </c>
      <c r="G36" s="88">
        <v>46085</v>
      </c>
      <c r="H36" s="33"/>
      <c r="I36" s="33"/>
      <c r="J36" s="33"/>
      <c r="K36" s="109"/>
      <c r="M36" s="43">
        <v>3.8194444444444448E-2</v>
      </c>
    </row>
    <row r="37" spans="2:13" ht="40.15" customHeight="1">
      <c r="B37" s="29"/>
      <c r="C37" s="6">
        <v>8</v>
      </c>
      <c r="D37" s="85">
        <v>0.66666666666666663</v>
      </c>
      <c r="E37" s="5" t="s">
        <v>149</v>
      </c>
      <c r="F37" s="5" t="s">
        <v>120</v>
      </c>
      <c r="G37" s="88">
        <v>46085</v>
      </c>
      <c r="H37" s="33"/>
      <c r="I37" s="33"/>
      <c r="J37" s="33"/>
      <c r="K37" s="107" t="s">
        <v>59</v>
      </c>
      <c r="M37" s="43">
        <v>4.5138888888888888E-2</v>
      </c>
    </row>
    <row r="38" spans="2:13" ht="40.15" customHeight="1">
      <c r="B38" s="29"/>
      <c r="C38" s="6">
        <v>9</v>
      </c>
      <c r="D38" s="85">
        <v>0.66736111111111107</v>
      </c>
      <c r="E38" s="5" t="s">
        <v>150</v>
      </c>
      <c r="F38" s="5" t="s">
        <v>120</v>
      </c>
      <c r="G38" s="88">
        <v>46085</v>
      </c>
      <c r="H38" s="33"/>
      <c r="I38" s="33"/>
      <c r="J38" s="33"/>
      <c r="K38" s="108"/>
      <c r="M38" s="43">
        <v>5.2083333333333336E-2</v>
      </c>
    </row>
    <row r="39" spans="2:13" ht="40.15" customHeight="1">
      <c r="B39" s="30"/>
      <c r="C39" s="6">
        <v>10</v>
      </c>
      <c r="D39" s="85">
        <v>0.67361111111111116</v>
      </c>
      <c r="E39" s="5" t="s">
        <v>151</v>
      </c>
      <c r="F39" s="5" t="s">
        <v>120</v>
      </c>
      <c r="G39" s="88">
        <v>46085</v>
      </c>
      <c r="H39" s="33"/>
      <c r="I39" s="33"/>
      <c r="J39" s="33"/>
      <c r="K39" s="109"/>
      <c r="M39" s="43">
        <v>5.9027777777777776E-2</v>
      </c>
    </row>
    <row r="40" spans="2:13" ht="19.899999999999999" customHeight="1">
      <c r="D40" s="4" t="s">
        <v>131</v>
      </c>
      <c r="E40" s="3" t="s">
        <v>132</v>
      </c>
    </row>
    <row r="41" spans="2:13" ht="19.899999999999999" customHeight="1">
      <c r="E41" s="3" t="s">
        <v>133</v>
      </c>
    </row>
    <row r="42" spans="2:13" ht="19.899999999999999" customHeight="1"/>
    <row r="43" spans="2:13" ht="19.899999999999999" customHeight="1">
      <c r="D43" s="4"/>
    </row>
    <row r="44" spans="2:13" ht="19.899999999999999" customHeight="1"/>
    <row r="45" spans="2:13" ht="19.899999999999999" customHeight="1"/>
    <row r="46" spans="2:13" ht="19.899999999999999" customHeight="1"/>
    <row r="47" spans="2:13" ht="19.899999999999999" customHeight="1">
      <c r="D47" s="4"/>
    </row>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sheetData>
  <mergeCells count="10">
    <mergeCell ref="K31:K33"/>
    <mergeCell ref="K34:K36"/>
    <mergeCell ref="K37:K39"/>
    <mergeCell ref="C28:C29"/>
    <mergeCell ref="D28:D29"/>
    <mergeCell ref="E28:J28"/>
    <mergeCell ref="K28:K29"/>
    <mergeCell ref="E29:F29"/>
    <mergeCell ref="G29:H29"/>
    <mergeCell ref="I29:J29"/>
  </mergeCells>
  <phoneticPr fontId="2"/>
  <pageMargins left="0.31496062992125984" right="0.31496062992125984" top="0.74803149606299213" bottom="0.74803149606299213" header="0.31496062992125984" footer="0.31496062992125984"/>
  <pageSetup paperSize="9" scale="54" fitToHeight="0"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979E-3F7B-4B34-B2B0-5C0C53FC3EC8}">
  <sheetPr>
    <pageSetUpPr fitToPage="1"/>
  </sheetPr>
  <dimension ref="B1:N72"/>
  <sheetViews>
    <sheetView view="pageBreakPreview" topLeftCell="A30" zoomScale="80" zoomScaleNormal="85" zoomScaleSheetLayoutView="80" workbookViewId="0">
      <selection activeCell="L19" sqref="L19"/>
    </sheetView>
  </sheetViews>
  <sheetFormatPr defaultColWidth="8.7265625" defaultRowHeight="15"/>
  <cols>
    <col min="1" max="1" width="1.7265625" style="3" customWidth="1"/>
    <col min="2" max="2" width="6.7265625" style="3" customWidth="1"/>
    <col min="3" max="3" width="4.26953125" style="3" customWidth="1"/>
    <col min="4" max="4" width="7.7265625" style="3" bestFit="1" customWidth="1"/>
    <col min="5" max="5" width="8.7265625" style="3" customWidth="1"/>
    <col min="6" max="6" width="35.7265625" style="3" customWidth="1"/>
    <col min="7" max="7" width="4.453125" style="3" customWidth="1"/>
    <col min="8" max="8" width="25.7265625" style="3" customWidth="1"/>
    <col min="9" max="9" width="4.453125" style="3" customWidth="1"/>
    <col min="10" max="10" width="30.7265625" style="3" customWidth="1"/>
    <col min="11" max="11" width="4.453125" style="3" customWidth="1"/>
    <col min="12" max="12" width="7.453125" style="3" bestFit="1" customWidth="1"/>
    <col min="13" max="13" width="1.7265625" style="3" customWidth="1"/>
    <col min="14" max="14" width="8.7265625" style="42"/>
    <col min="15" max="15" width="11.7265625" style="3" bestFit="1" customWidth="1"/>
    <col min="16" max="16384" width="8.7265625" style="3"/>
  </cols>
  <sheetData>
    <row r="1" spans="2:14" ht="21" customHeight="1">
      <c r="B1" s="13" t="s">
        <v>152</v>
      </c>
      <c r="C1" s="4"/>
      <c r="D1" s="4"/>
      <c r="E1" s="4"/>
      <c r="L1" s="4"/>
    </row>
    <row r="2" spans="2:14" ht="16">
      <c r="B2" s="40" t="s">
        <v>153</v>
      </c>
      <c r="C2" s="39"/>
      <c r="D2" s="4"/>
      <c r="E2" s="4"/>
      <c r="L2" s="4"/>
    </row>
    <row r="3" spans="2:14">
      <c r="B3" s="19" t="s">
        <v>83</v>
      </c>
      <c r="C3" s="25" t="s">
        <v>154</v>
      </c>
      <c r="D3" s="89"/>
      <c r="E3" s="23"/>
      <c r="F3" s="23"/>
      <c r="G3" s="23"/>
      <c r="H3" s="23"/>
      <c r="I3" s="23"/>
      <c r="J3" s="23"/>
      <c r="K3" s="23"/>
      <c r="L3" s="35"/>
    </row>
    <row r="4" spans="2:14">
      <c r="B4" s="20"/>
      <c r="C4" s="25" t="s">
        <v>155</v>
      </c>
      <c r="D4" s="89"/>
      <c r="L4" s="17"/>
    </row>
    <row r="5" spans="2:14">
      <c r="B5" s="21"/>
      <c r="C5" s="26"/>
      <c r="D5" s="90"/>
      <c r="E5" s="27"/>
      <c r="F5" s="27"/>
      <c r="G5" s="27"/>
      <c r="H5" s="27"/>
      <c r="I5" s="27"/>
      <c r="J5" s="27" t="s">
        <v>156</v>
      </c>
      <c r="K5" s="27"/>
      <c r="L5" s="36"/>
    </row>
    <row r="6" spans="2:14">
      <c r="B6" s="19" t="s">
        <v>87</v>
      </c>
      <c r="C6" s="22" t="s">
        <v>88</v>
      </c>
      <c r="D6" s="91"/>
      <c r="E6" s="23"/>
      <c r="F6" s="23"/>
      <c r="G6" s="23"/>
      <c r="H6" s="23"/>
      <c r="I6" s="23"/>
      <c r="J6" s="23"/>
      <c r="K6" s="23"/>
      <c r="L6" s="35"/>
    </row>
    <row r="7" spans="2:14">
      <c r="B7" s="20"/>
      <c r="C7" s="25" t="s">
        <v>89</v>
      </c>
      <c r="D7" s="89"/>
      <c r="L7" s="17"/>
    </row>
    <row r="8" spans="2:14">
      <c r="B8" s="21"/>
      <c r="C8" s="26"/>
      <c r="D8" s="90"/>
      <c r="E8" s="27"/>
      <c r="F8" s="27"/>
      <c r="G8" s="27"/>
      <c r="H8" s="27"/>
      <c r="I8" s="27"/>
      <c r="J8" s="27"/>
      <c r="K8" s="27"/>
      <c r="L8" s="36"/>
    </row>
    <row r="9" spans="2:14">
      <c r="B9" s="19" t="s">
        <v>90</v>
      </c>
      <c r="C9" s="3" t="s">
        <v>140</v>
      </c>
      <c r="K9" s="23"/>
      <c r="L9" s="24" t="s">
        <v>26</v>
      </c>
    </row>
    <row r="10" spans="2:14">
      <c r="B10" s="31"/>
      <c r="C10" s="3" t="s">
        <v>157</v>
      </c>
      <c r="L10" s="18" t="s">
        <v>27</v>
      </c>
      <c r="N10" s="93" t="s">
        <v>158</v>
      </c>
    </row>
    <row r="11" spans="2:14">
      <c r="B11" s="29"/>
      <c r="C11" s="3" t="s">
        <v>159</v>
      </c>
      <c r="L11" s="18"/>
      <c r="N11" s="94" t="s">
        <v>160</v>
      </c>
    </row>
    <row r="12" spans="2:14">
      <c r="B12" s="29"/>
      <c r="L12" s="18" t="s">
        <v>59</v>
      </c>
    </row>
    <row r="13" spans="2:14">
      <c r="B13" s="29"/>
      <c r="C13" s="3" t="s">
        <v>161</v>
      </c>
      <c r="L13" s="18" t="s">
        <v>60</v>
      </c>
    </row>
    <row r="14" spans="2:14">
      <c r="B14" s="29"/>
      <c r="C14" s="3" t="s">
        <v>157</v>
      </c>
      <c r="L14" s="18" t="s">
        <v>61</v>
      </c>
    </row>
    <row r="15" spans="2:14">
      <c r="B15" s="29"/>
      <c r="C15" s="3" t="s">
        <v>159</v>
      </c>
      <c r="L15" s="18"/>
    </row>
    <row r="16" spans="2:14">
      <c r="B16" s="29"/>
      <c r="L16" s="18"/>
    </row>
    <row r="17" spans="2:12">
      <c r="B17" s="29"/>
      <c r="L17" s="18"/>
    </row>
    <row r="18" spans="2:12">
      <c r="B18" s="29"/>
      <c r="L18" s="18"/>
    </row>
    <row r="19" spans="2:12">
      <c r="B19" s="29"/>
      <c r="L19" s="18"/>
    </row>
    <row r="20" spans="2:12">
      <c r="B20" s="29"/>
      <c r="L20" s="18"/>
    </row>
    <row r="21" spans="2:12">
      <c r="B21" s="29"/>
      <c r="L21" s="18"/>
    </row>
    <row r="22" spans="2:12">
      <c r="B22" s="29"/>
      <c r="L22" s="18"/>
    </row>
    <row r="23" spans="2:12">
      <c r="B23" s="29"/>
      <c r="L23" s="18"/>
    </row>
    <row r="24" spans="2:12">
      <c r="B24" s="29"/>
      <c r="L24" s="18"/>
    </row>
    <row r="25" spans="2:12">
      <c r="B25" s="29"/>
      <c r="L25" s="18"/>
    </row>
    <row r="26" spans="2:12">
      <c r="B26" s="29"/>
      <c r="L26" s="18"/>
    </row>
    <row r="27" spans="2:12">
      <c r="B27" s="29"/>
      <c r="L27" s="18"/>
    </row>
    <row r="28" spans="2:12">
      <c r="B28" s="29"/>
      <c r="L28" s="18"/>
    </row>
    <row r="29" spans="2:12">
      <c r="B29" s="30"/>
      <c r="C29" s="32"/>
      <c r="D29" s="27"/>
      <c r="E29" s="27"/>
      <c r="F29" s="27"/>
      <c r="G29" s="27"/>
      <c r="H29" s="27"/>
      <c r="I29" s="27"/>
      <c r="J29" s="27"/>
      <c r="K29" s="27"/>
      <c r="L29" s="28"/>
    </row>
    <row r="31" spans="2:12">
      <c r="B31" s="19" t="s">
        <v>101</v>
      </c>
      <c r="C31" s="110" t="s">
        <v>102</v>
      </c>
      <c r="D31" s="111"/>
      <c r="E31" s="111" t="s">
        <v>103</v>
      </c>
      <c r="F31" s="113" t="s">
        <v>104</v>
      </c>
      <c r="G31" s="114"/>
      <c r="H31" s="114"/>
      <c r="I31" s="114"/>
      <c r="J31" s="114"/>
      <c r="K31" s="115"/>
      <c r="L31" s="19" t="s">
        <v>105</v>
      </c>
    </row>
    <row r="32" spans="2:12">
      <c r="B32" s="31"/>
      <c r="C32" s="110"/>
      <c r="D32" s="112"/>
      <c r="E32" s="112"/>
      <c r="F32" s="110" t="s">
        <v>106</v>
      </c>
      <c r="G32" s="110"/>
      <c r="H32" s="110" t="s">
        <v>107</v>
      </c>
      <c r="I32" s="110"/>
      <c r="J32" s="110" t="s">
        <v>108</v>
      </c>
      <c r="K32" s="110"/>
      <c r="L32" s="21"/>
    </row>
    <row r="33" spans="2:14" ht="40.15" customHeight="1">
      <c r="B33" s="31"/>
      <c r="C33" s="6">
        <v>1</v>
      </c>
      <c r="D33" s="92"/>
      <c r="E33" s="37">
        <v>0.44791666666666669</v>
      </c>
      <c r="F33" s="5" t="s">
        <v>142</v>
      </c>
      <c r="G33" s="5"/>
      <c r="H33" s="33"/>
      <c r="I33" s="33"/>
      <c r="J33" s="34" t="s">
        <v>111</v>
      </c>
      <c r="K33" s="5"/>
      <c r="L33" s="5"/>
    </row>
    <row r="34" spans="2:14" ht="40.15" customHeight="1">
      <c r="B34" s="31"/>
      <c r="C34" s="6">
        <v>2</v>
      </c>
      <c r="D34" s="92"/>
      <c r="E34" s="85">
        <v>0.56944444444444442</v>
      </c>
      <c r="F34" s="34" t="s">
        <v>162</v>
      </c>
      <c r="G34" s="5"/>
      <c r="H34" s="33"/>
      <c r="I34" s="33"/>
      <c r="J34" s="33"/>
      <c r="K34" s="33"/>
      <c r="L34" s="38"/>
      <c r="N34" s="43">
        <v>3.472222222222222E-3</v>
      </c>
    </row>
    <row r="35" spans="2:14" ht="40.15" customHeight="1">
      <c r="B35" s="29"/>
      <c r="C35" s="6">
        <v>3</v>
      </c>
      <c r="D35" s="6"/>
      <c r="E35" s="37">
        <f t="shared" ref="E35:E36" si="0">E$33+N35</f>
        <v>0.45833333333333337</v>
      </c>
      <c r="F35" s="34" t="s">
        <v>150</v>
      </c>
      <c r="G35" s="5"/>
      <c r="H35" s="33"/>
      <c r="I35" s="33"/>
      <c r="J35" s="33"/>
      <c r="K35" s="132"/>
      <c r="L35" s="46" t="s">
        <v>26</v>
      </c>
      <c r="N35" s="43">
        <v>1.0416666666666666E-2</v>
      </c>
    </row>
    <row r="36" spans="2:14" ht="40.15" customHeight="1">
      <c r="B36" s="29"/>
      <c r="C36" s="6">
        <v>4</v>
      </c>
      <c r="D36" s="6"/>
      <c r="E36" s="37">
        <f t="shared" si="0"/>
        <v>0.46527777777777779</v>
      </c>
      <c r="F36" s="34" t="s">
        <v>151</v>
      </c>
      <c r="G36" s="5"/>
      <c r="H36" s="33"/>
      <c r="I36" s="33"/>
      <c r="J36" s="33"/>
      <c r="K36" s="132"/>
      <c r="L36" s="87"/>
      <c r="N36" s="43">
        <v>1.7361111111111112E-2</v>
      </c>
    </row>
    <row r="37" spans="2:14" ht="19.899999999999999" customHeight="1">
      <c r="B37" s="29"/>
      <c r="C37" s="6">
        <v>5</v>
      </c>
      <c r="D37" s="6"/>
      <c r="E37" s="37">
        <f t="shared" ref="E37:E42" si="1">E$33+N37</f>
        <v>0.46875</v>
      </c>
      <c r="F37" s="33"/>
      <c r="G37" s="33"/>
      <c r="H37" s="33"/>
      <c r="I37" s="33"/>
      <c r="J37" s="5" t="s">
        <v>163</v>
      </c>
      <c r="K37" s="133"/>
      <c r="L37" s="46" t="s">
        <v>27</v>
      </c>
      <c r="N37" s="43">
        <v>2.0833333333333332E-2</v>
      </c>
    </row>
    <row r="38" spans="2:14" ht="40.15" customHeight="1">
      <c r="B38" s="29"/>
      <c r="C38" s="6">
        <v>6</v>
      </c>
      <c r="D38" s="6"/>
      <c r="E38" s="37">
        <f t="shared" si="1"/>
        <v>0.47222222222222227</v>
      </c>
      <c r="F38" s="34" t="s">
        <v>164</v>
      </c>
      <c r="G38" s="5"/>
      <c r="H38" s="33"/>
      <c r="I38" s="33"/>
      <c r="J38" s="33"/>
      <c r="K38" s="132"/>
      <c r="L38" s="47"/>
      <c r="N38" s="43">
        <v>2.4305555555555556E-2</v>
      </c>
    </row>
    <row r="39" spans="2:14" ht="19.899999999999999" customHeight="1">
      <c r="B39" s="29"/>
      <c r="C39" s="6">
        <v>7</v>
      </c>
      <c r="D39" s="6"/>
      <c r="E39" s="37">
        <f t="shared" si="1"/>
        <v>0.47569444444444448</v>
      </c>
      <c r="F39" s="33"/>
      <c r="G39" s="33"/>
      <c r="H39" s="33"/>
      <c r="I39" s="33"/>
      <c r="J39" s="5" t="s">
        <v>165</v>
      </c>
      <c r="K39" s="5"/>
      <c r="L39" s="5"/>
      <c r="N39" s="43">
        <v>2.7777777777777776E-2</v>
      </c>
    </row>
    <row r="40" spans="2:14" ht="19.899999999999999" customHeight="1">
      <c r="B40" s="29"/>
      <c r="C40" s="6">
        <v>8</v>
      </c>
      <c r="D40" s="6"/>
      <c r="E40" s="37">
        <f t="shared" si="1"/>
        <v>0.47916666666666669</v>
      </c>
      <c r="F40" s="33"/>
      <c r="G40" s="33"/>
      <c r="H40" s="34" t="s">
        <v>166</v>
      </c>
      <c r="I40" s="5"/>
      <c r="J40" s="33"/>
      <c r="K40" s="132"/>
      <c r="L40" s="46" t="s">
        <v>59</v>
      </c>
      <c r="N40" s="43">
        <v>3.125E-2</v>
      </c>
    </row>
    <row r="41" spans="2:14" ht="19.899999999999999" customHeight="1">
      <c r="B41" s="29"/>
      <c r="C41" s="6">
        <v>9</v>
      </c>
      <c r="D41" s="6"/>
      <c r="E41" s="37">
        <f t="shared" si="1"/>
        <v>0.47916666666666669</v>
      </c>
      <c r="F41" s="34" t="s">
        <v>167</v>
      </c>
      <c r="G41" s="5"/>
      <c r="H41" s="33"/>
      <c r="I41" s="33"/>
      <c r="J41" s="33"/>
      <c r="K41" s="132"/>
      <c r="L41" s="87"/>
      <c r="N41" s="43">
        <v>3.125E-2</v>
      </c>
    </row>
    <row r="42" spans="2:14" ht="40.15" customHeight="1">
      <c r="B42" s="31"/>
      <c r="C42" s="6">
        <v>10</v>
      </c>
      <c r="D42" s="6"/>
      <c r="E42" s="37">
        <f t="shared" si="1"/>
        <v>0.49305555555555558</v>
      </c>
      <c r="F42" s="34" t="s">
        <v>168</v>
      </c>
      <c r="G42" s="5"/>
      <c r="H42" s="33"/>
      <c r="I42" s="33"/>
      <c r="J42" s="33"/>
      <c r="K42" s="132"/>
      <c r="L42" s="47"/>
      <c r="N42" s="43">
        <v>4.5138888888888888E-2</v>
      </c>
    </row>
    <row r="43" spans="2:14" ht="40.15" customHeight="1">
      <c r="B43" s="29"/>
      <c r="C43" s="6">
        <v>11</v>
      </c>
      <c r="D43" s="6"/>
      <c r="E43" s="37">
        <f t="shared" ref="E43:E44" si="2">E$33+N43</f>
        <v>0.5</v>
      </c>
      <c r="F43" s="34" t="s">
        <v>150</v>
      </c>
      <c r="G43" s="5"/>
      <c r="H43" s="33"/>
      <c r="I43" s="33"/>
      <c r="J43" s="33"/>
      <c r="K43" s="132"/>
      <c r="L43" s="46" t="s">
        <v>60</v>
      </c>
      <c r="N43" s="43">
        <v>5.2083333333333336E-2</v>
      </c>
    </row>
    <row r="44" spans="2:14" ht="40.15" customHeight="1">
      <c r="B44" s="29"/>
      <c r="C44" s="6">
        <v>12</v>
      </c>
      <c r="D44" s="6"/>
      <c r="E44" s="37">
        <f t="shared" si="2"/>
        <v>0.50694444444444442</v>
      </c>
      <c r="F44" s="34" t="s">
        <v>148</v>
      </c>
      <c r="G44" s="5"/>
      <c r="H44" s="33"/>
      <c r="I44" s="33"/>
      <c r="J44" s="33"/>
      <c r="K44" s="132"/>
      <c r="L44" s="87"/>
      <c r="N44" s="43">
        <v>5.9027777777777776E-2</v>
      </c>
    </row>
    <row r="45" spans="2:14" ht="19.899999999999999" customHeight="1">
      <c r="B45" s="29"/>
      <c r="C45" s="6">
        <v>13</v>
      </c>
      <c r="D45" s="6"/>
      <c r="E45" s="37">
        <f>E$33+N45</f>
        <v>0.51041666666666674</v>
      </c>
      <c r="F45" s="33"/>
      <c r="G45" s="33"/>
      <c r="H45" s="33"/>
      <c r="I45" s="33"/>
      <c r="J45" s="5" t="s">
        <v>163</v>
      </c>
      <c r="K45" s="133"/>
      <c r="L45" s="46" t="s">
        <v>61</v>
      </c>
      <c r="N45" s="43">
        <v>6.25E-2</v>
      </c>
    </row>
    <row r="46" spans="2:14" ht="40.15" customHeight="1">
      <c r="B46" s="29"/>
      <c r="C46" s="6">
        <v>14</v>
      </c>
      <c r="D46" s="6"/>
      <c r="E46" s="37">
        <f t="shared" ref="E46" si="3">E$33+N46</f>
        <v>0.51388888888888895</v>
      </c>
      <c r="F46" s="34" t="s">
        <v>164</v>
      </c>
      <c r="G46" s="5"/>
      <c r="H46" s="33"/>
      <c r="I46" s="33"/>
      <c r="J46" s="33"/>
      <c r="K46" s="132"/>
      <c r="L46" s="47"/>
      <c r="N46" s="43">
        <v>6.5972222222222224E-2</v>
      </c>
    </row>
    <row r="47" spans="2:14" ht="19.899999999999999" customHeight="1">
      <c r="B47" s="29"/>
      <c r="C47" s="6">
        <v>15</v>
      </c>
      <c r="D47" s="6"/>
      <c r="E47" s="37">
        <f>E$33+N47</f>
        <v>0.51736111111111116</v>
      </c>
      <c r="F47" s="33"/>
      <c r="G47" s="33"/>
      <c r="H47" s="33"/>
      <c r="I47" s="33"/>
      <c r="J47" s="5" t="s">
        <v>165</v>
      </c>
      <c r="K47" s="5"/>
      <c r="L47" s="5"/>
      <c r="N47" s="43">
        <v>6.9444444444444448E-2</v>
      </c>
    </row>
    <row r="48" spans="2:14" ht="19.899999999999999" customHeight="1">
      <c r="B48" s="29"/>
      <c r="C48" s="6">
        <v>16</v>
      </c>
      <c r="D48" s="6"/>
      <c r="E48" s="37">
        <f>E$33+N48</f>
        <v>0.52083333333333337</v>
      </c>
      <c r="F48" s="33"/>
      <c r="G48" s="33"/>
      <c r="H48" s="34" t="s">
        <v>166</v>
      </c>
      <c r="I48" s="5"/>
      <c r="J48" s="33"/>
      <c r="K48" s="33"/>
      <c r="L48" s="5"/>
      <c r="N48" s="43">
        <v>7.2916666666666671E-2</v>
      </c>
    </row>
    <row r="49" spans="2:14" ht="19.899999999999999" customHeight="1">
      <c r="B49" s="30"/>
      <c r="C49" s="6">
        <v>17</v>
      </c>
      <c r="D49" s="6"/>
      <c r="E49" s="37">
        <f>E$33+N49</f>
        <v>0.52083333333333337</v>
      </c>
      <c r="F49" s="34" t="s">
        <v>167</v>
      </c>
      <c r="G49" s="5"/>
      <c r="H49" s="33"/>
      <c r="I49" s="33"/>
      <c r="J49" s="33"/>
      <c r="K49" s="33"/>
      <c r="L49" s="5"/>
      <c r="N49" s="43">
        <v>7.2916666666666671E-2</v>
      </c>
    </row>
    <row r="50" spans="2:14" ht="19.899999999999999" customHeight="1"/>
    <row r="51" spans="2:14" ht="19.899999999999999" customHeight="1">
      <c r="E51" s="4" t="s">
        <v>131</v>
      </c>
      <c r="F51" s="3" t="s">
        <v>132</v>
      </c>
    </row>
    <row r="52" spans="2:14" ht="19.899999999999999" customHeight="1">
      <c r="F52" s="3" t="s">
        <v>169</v>
      </c>
    </row>
    <row r="53" spans="2:14" ht="19.899999999999999" customHeight="1"/>
    <row r="54" spans="2:14" ht="19.899999999999999" customHeight="1">
      <c r="E54" s="4"/>
    </row>
    <row r="55" spans="2:14" ht="19.899999999999999" customHeight="1"/>
    <row r="56" spans="2:14" ht="19.899999999999999" customHeight="1"/>
    <row r="57" spans="2:14" ht="19.899999999999999" customHeight="1"/>
    <row r="58" spans="2:14" ht="19.899999999999999" customHeight="1">
      <c r="E58" s="4"/>
    </row>
    <row r="59" spans="2:14" ht="19.899999999999999" customHeight="1"/>
    <row r="60" spans="2:14" ht="19.899999999999999" customHeight="1"/>
    <row r="61" spans="2:14" ht="19.899999999999999" customHeight="1"/>
    <row r="62" spans="2:14" ht="19.899999999999999" customHeight="1"/>
    <row r="63" spans="2:14" ht="19.899999999999999" customHeight="1"/>
    <row r="64" spans="2:1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sheetData>
  <mergeCells count="12">
    <mergeCell ref="K43:K44"/>
    <mergeCell ref="K45:K46"/>
    <mergeCell ref="K40:K42"/>
    <mergeCell ref="C31:C32"/>
    <mergeCell ref="D31:D32"/>
    <mergeCell ref="E31:J31"/>
    <mergeCell ref="K31:K32"/>
    <mergeCell ref="E32:F32"/>
    <mergeCell ref="G32:H32"/>
    <mergeCell ref="I32:J32"/>
    <mergeCell ref="K35:K36"/>
    <mergeCell ref="K37:K38"/>
  </mergeCells>
  <phoneticPr fontId="2"/>
  <pageMargins left="0.31496062992125984" right="0.31496062992125984" top="0.55118110236220474" bottom="0.35433070866141736" header="0.31496062992125984" footer="0.31496062992125984"/>
  <pageSetup paperSize="9" scale="41" fitToHeight="0"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22FE8-8048-4B00-91BD-2031FA2C1D86}">
  <sheetPr>
    <pageSetUpPr fitToPage="1"/>
  </sheetPr>
  <dimension ref="B1:M72"/>
  <sheetViews>
    <sheetView view="pageBreakPreview" zoomScale="70" zoomScaleNormal="85" zoomScaleSheetLayoutView="70" workbookViewId="0">
      <selection activeCell="I16" sqref="I16"/>
    </sheetView>
  </sheetViews>
  <sheetFormatPr defaultColWidth="8.7265625" defaultRowHeight="15"/>
  <cols>
    <col min="1" max="1" width="1.7265625" style="3" customWidth="1"/>
    <col min="2" max="2" width="6.7265625" style="3" customWidth="1"/>
    <col min="3" max="3" width="4.26953125" style="3" customWidth="1"/>
    <col min="4" max="4" width="8.7265625" style="3" customWidth="1"/>
    <col min="5" max="5" width="35.7265625" style="3" customWidth="1"/>
    <col min="6" max="6" width="4.453125" style="3" customWidth="1"/>
    <col min="7" max="7" width="25.7265625" style="3" customWidth="1"/>
    <col min="8" max="8" width="4.453125" style="3" customWidth="1"/>
    <col min="9" max="9" width="30.7265625" style="3" customWidth="1"/>
    <col min="10" max="10" width="4.453125" style="3" customWidth="1"/>
    <col min="11" max="11" width="7.453125" style="3" bestFit="1" customWidth="1"/>
    <col min="12" max="12" width="1.7265625" style="3" customWidth="1"/>
    <col min="13" max="13" width="8.7265625" style="42"/>
    <col min="14" max="14" width="8.453125" style="3" customWidth="1"/>
    <col min="15" max="16384" width="8.7265625" style="3"/>
  </cols>
  <sheetData>
    <row r="1" spans="2:11" ht="21" customHeight="1">
      <c r="B1" s="13" t="s">
        <v>152</v>
      </c>
      <c r="C1" s="4"/>
      <c r="D1" s="4"/>
      <c r="K1" s="4"/>
    </row>
    <row r="2" spans="2:11" ht="16">
      <c r="B2" s="40" t="s">
        <v>170</v>
      </c>
      <c r="C2" s="39"/>
      <c r="D2" s="4"/>
      <c r="K2" s="4"/>
    </row>
    <row r="3" spans="2:11">
      <c r="B3" s="19" t="s">
        <v>83</v>
      </c>
      <c r="C3" s="25" t="s">
        <v>171</v>
      </c>
      <c r="D3" s="23"/>
      <c r="E3" s="23"/>
      <c r="F3" s="23"/>
      <c r="G3" s="23"/>
      <c r="H3" s="23"/>
      <c r="I3" s="23"/>
      <c r="J3" s="23"/>
      <c r="K3" s="35"/>
    </row>
    <row r="4" spans="2:11">
      <c r="B4" s="20"/>
      <c r="C4" s="25" t="s">
        <v>172</v>
      </c>
      <c r="K4" s="17"/>
    </row>
    <row r="5" spans="2:11">
      <c r="B5" s="21"/>
      <c r="C5" s="49" t="s">
        <v>173</v>
      </c>
      <c r="D5" s="27"/>
      <c r="E5" s="27"/>
      <c r="F5" s="27"/>
      <c r="G5" s="27"/>
      <c r="H5" s="27"/>
      <c r="I5" s="27" t="s">
        <v>156</v>
      </c>
      <c r="J5" s="27"/>
      <c r="K5" s="36"/>
    </row>
    <row r="6" spans="2:11">
      <c r="B6" s="19" t="s">
        <v>87</v>
      </c>
      <c r="C6" s="22" t="s">
        <v>88</v>
      </c>
      <c r="D6" s="23"/>
      <c r="E6" s="23"/>
      <c r="F6" s="23"/>
      <c r="G6" s="23"/>
      <c r="H6" s="23"/>
      <c r="I6" s="23"/>
      <c r="J6" s="23"/>
      <c r="K6" s="35"/>
    </row>
    <row r="7" spans="2:11">
      <c r="B7" s="20"/>
      <c r="C7" s="25" t="s">
        <v>89</v>
      </c>
      <c r="K7" s="17"/>
    </row>
    <row r="8" spans="2:11">
      <c r="B8" s="21"/>
      <c r="C8" s="26"/>
      <c r="D8" s="27"/>
      <c r="E8" s="27"/>
      <c r="F8" s="27"/>
      <c r="G8" s="27"/>
      <c r="H8" s="27"/>
      <c r="I8" s="27"/>
      <c r="J8" s="27"/>
      <c r="K8" s="36"/>
    </row>
    <row r="9" spans="2:11">
      <c r="B9" s="19" t="s">
        <v>90</v>
      </c>
      <c r="C9" s="3" t="s">
        <v>174</v>
      </c>
      <c r="J9" s="23"/>
      <c r="K9" s="24" t="s">
        <v>26</v>
      </c>
    </row>
    <row r="10" spans="2:11">
      <c r="B10" s="31"/>
      <c r="C10" s="3" t="s">
        <v>140</v>
      </c>
      <c r="K10" s="18" t="s">
        <v>27</v>
      </c>
    </row>
    <row r="11" spans="2:11">
      <c r="B11" s="29"/>
      <c r="C11" s="3" t="s">
        <v>157</v>
      </c>
      <c r="K11" s="18"/>
    </row>
    <row r="12" spans="2:11">
      <c r="B12" s="29"/>
      <c r="C12" s="3" t="s">
        <v>159</v>
      </c>
      <c r="K12" s="18"/>
    </row>
    <row r="13" spans="2:11">
      <c r="B13" s="29"/>
      <c r="K13" s="18" t="s">
        <v>59</v>
      </c>
    </row>
    <row r="14" spans="2:11">
      <c r="B14" s="29"/>
      <c r="C14" s="3" t="s">
        <v>161</v>
      </c>
      <c r="K14" s="18" t="s">
        <v>60</v>
      </c>
    </row>
    <row r="15" spans="2:11">
      <c r="B15" s="29"/>
      <c r="C15" s="3" t="s">
        <v>157</v>
      </c>
      <c r="K15" s="18" t="s">
        <v>61</v>
      </c>
    </row>
    <row r="16" spans="2:11">
      <c r="B16" s="29"/>
      <c r="C16" s="3" t="s">
        <v>159</v>
      </c>
      <c r="K16" s="18"/>
    </row>
    <row r="17" spans="2:11">
      <c r="B17" s="29"/>
      <c r="K17" s="18"/>
    </row>
    <row r="18" spans="2:11">
      <c r="B18" s="29"/>
      <c r="K18" s="18"/>
    </row>
    <row r="19" spans="2:11">
      <c r="B19" s="29"/>
      <c r="K19" s="18"/>
    </row>
    <row r="20" spans="2:11">
      <c r="B20" s="29"/>
      <c r="K20" s="18"/>
    </row>
    <row r="21" spans="2:11">
      <c r="B21" s="29"/>
      <c r="K21" s="18"/>
    </row>
    <row r="22" spans="2:11">
      <c r="B22" s="29"/>
      <c r="K22" s="18"/>
    </row>
    <row r="23" spans="2:11">
      <c r="B23" s="29"/>
      <c r="K23" s="18"/>
    </row>
    <row r="24" spans="2:11">
      <c r="B24" s="29"/>
      <c r="K24" s="18"/>
    </row>
    <row r="25" spans="2:11">
      <c r="B25" s="29"/>
      <c r="K25" s="18"/>
    </row>
    <row r="26" spans="2:11">
      <c r="B26" s="29"/>
      <c r="K26" s="18"/>
    </row>
    <row r="27" spans="2:11">
      <c r="B27" s="29"/>
      <c r="K27" s="18"/>
    </row>
    <row r="28" spans="2:11">
      <c r="B28" s="29"/>
      <c r="K28" s="18"/>
    </row>
    <row r="29" spans="2:11">
      <c r="B29" s="30"/>
      <c r="C29" s="32"/>
      <c r="D29" s="27"/>
      <c r="E29" s="27"/>
      <c r="F29" s="27"/>
      <c r="G29" s="27"/>
      <c r="H29" s="27"/>
      <c r="I29" s="27"/>
      <c r="J29" s="27"/>
      <c r="K29" s="28"/>
    </row>
    <row r="31" spans="2:11">
      <c r="B31" s="19" t="s">
        <v>101</v>
      </c>
      <c r="C31" s="110" t="s">
        <v>102</v>
      </c>
      <c r="D31" s="111" t="s">
        <v>103</v>
      </c>
      <c r="E31" s="113" t="s">
        <v>104</v>
      </c>
      <c r="F31" s="114"/>
      <c r="G31" s="114"/>
      <c r="H31" s="114"/>
      <c r="I31" s="114"/>
      <c r="J31" s="115"/>
      <c r="K31" s="111" t="s">
        <v>105</v>
      </c>
    </row>
    <row r="32" spans="2:11">
      <c r="B32" s="31"/>
      <c r="C32" s="110"/>
      <c r="D32" s="112"/>
      <c r="E32" s="110" t="s">
        <v>106</v>
      </c>
      <c r="F32" s="110"/>
      <c r="G32" s="110" t="s">
        <v>107</v>
      </c>
      <c r="H32" s="110"/>
      <c r="I32" s="110" t="s">
        <v>108</v>
      </c>
      <c r="J32" s="110"/>
      <c r="K32" s="112"/>
    </row>
    <row r="33" spans="2:13" ht="40.15" customHeight="1">
      <c r="B33" s="31"/>
      <c r="C33" s="6">
        <v>1</v>
      </c>
      <c r="D33" s="37">
        <v>0.53125</v>
      </c>
      <c r="E33" s="5" t="s">
        <v>142</v>
      </c>
      <c r="F33" s="5"/>
      <c r="G33" s="33"/>
      <c r="H33" s="33"/>
      <c r="I33" s="34" t="s">
        <v>111</v>
      </c>
      <c r="J33" s="5"/>
      <c r="K33" s="5"/>
    </row>
    <row r="34" spans="2:13" ht="40.15" customHeight="1">
      <c r="B34" s="31"/>
      <c r="C34" s="6">
        <v>2</v>
      </c>
      <c r="D34" s="37">
        <f>D$33+M34</f>
        <v>0.53472222222222221</v>
      </c>
      <c r="E34" s="34" t="s">
        <v>175</v>
      </c>
      <c r="F34" s="5"/>
      <c r="G34" s="33"/>
      <c r="H34" s="33"/>
      <c r="I34" s="34" t="s">
        <v>176</v>
      </c>
      <c r="J34" s="5"/>
      <c r="K34" s="38"/>
      <c r="M34" s="43">
        <v>3.472222222222222E-3</v>
      </c>
    </row>
    <row r="35" spans="2:13" ht="40.15" customHeight="1">
      <c r="B35" s="29"/>
      <c r="C35" s="6">
        <v>3</v>
      </c>
      <c r="D35" s="37">
        <f t="shared" ref="D35:D36" si="0">D$33+M35</f>
        <v>0.54166666666666663</v>
      </c>
      <c r="E35" s="34" t="s">
        <v>150</v>
      </c>
      <c r="F35" s="5"/>
      <c r="G35" s="33"/>
      <c r="H35" s="33"/>
      <c r="I35" s="33"/>
      <c r="J35" s="33"/>
      <c r="K35" s="107" t="s">
        <v>26</v>
      </c>
      <c r="M35" s="43">
        <v>1.0416666666666666E-2</v>
      </c>
    </row>
    <row r="36" spans="2:13" ht="40.15" customHeight="1">
      <c r="B36" s="29"/>
      <c r="C36" s="6">
        <v>4</v>
      </c>
      <c r="D36" s="37">
        <f t="shared" si="0"/>
        <v>0.54861111111111116</v>
      </c>
      <c r="E36" s="34" t="s">
        <v>151</v>
      </c>
      <c r="F36" s="5"/>
      <c r="G36" s="33"/>
      <c r="H36" s="33"/>
      <c r="I36" s="33"/>
      <c r="J36" s="33"/>
      <c r="K36" s="108"/>
      <c r="M36" s="43">
        <v>1.7361111111111112E-2</v>
      </c>
    </row>
    <row r="37" spans="2:13" ht="19.899999999999999" customHeight="1">
      <c r="B37" s="29"/>
      <c r="C37" s="6">
        <v>5</v>
      </c>
      <c r="D37" s="37">
        <f t="shared" ref="D37:D42" si="1">D$33+M37</f>
        <v>0.55208333333333337</v>
      </c>
      <c r="E37" s="33"/>
      <c r="F37" s="33"/>
      <c r="G37" s="33"/>
      <c r="H37" s="33"/>
      <c r="I37" s="5" t="s">
        <v>163</v>
      </c>
      <c r="J37" s="5"/>
      <c r="K37" s="107" t="s">
        <v>27</v>
      </c>
      <c r="M37" s="43">
        <v>2.0833333333333332E-2</v>
      </c>
    </row>
    <row r="38" spans="2:13" ht="40.15" customHeight="1">
      <c r="B38" s="29"/>
      <c r="C38" s="6">
        <v>6</v>
      </c>
      <c r="D38" s="37">
        <f t="shared" si="1"/>
        <v>0.55555555555555558</v>
      </c>
      <c r="E38" s="34" t="s">
        <v>164</v>
      </c>
      <c r="F38" s="5"/>
      <c r="G38" s="33"/>
      <c r="H38" s="33"/>
      <c r="I38" s="33"/>
      <c r="J38" s="33"/>
      <c r="K38" s="109"/>
      <c r="M38" s="43">
        <v>2.4305555555555556E-2</v>
      </c>
    </row>
    <row r="39" spans="2:13" ht="19.899999999999999" customHeight="1">
      <c r="B39" s="29"/>
      <c r="C39" s="6">
        <v>7</v>
      </c>
      <c r="D39" s="37">
        <f t="shared" si="1"/>
        <v>0.55902777777777779</v>
      </c>
      <c r="E39" s="33"/>
      <c r="F39" s="33"/>
      <c r="G39" s="33"/>
      <c r="H39" s="33"/>
      <c r="I39" s="5" t="s">
        <v>165</v>
      </c>
      <c r="J39" s="5"/>
      <c r="K39" s="5"/>
      <c r="M39" s="43">
        <v>2.7777777777777776E-2</v>
      </c>
    </row>
    <row r="40" spans="2:13" ht="19.899999999999999" customHeight="1">
      <c r="B40" s="29"/>
      <c r="C40" s="6">
        <v>8</v>
      </c>
      <c r="D40" s="37">
        <f t="shared" si="1"/>
        <v>0.5625</v>
      </c>
      <c r="E40" s="33"/>
      <c r="F40" s="33"/>
      <c r="G40" s="34" t="s">
        <v>166</v>
      </c>
      <c r="H40" s="5"/>
      <c r="I40" s="33"/>
      <c r="J40" s="33"/>
      <c r="K40" s="107" t="s">
        <v>59</v>
      </c>
      <c r="M40" s="43">
        <v>3.125E-2</v>
      </c>
    </row>
    <row r="41" spans="2:13" ht="19.899999999999999" customHeight="1">
      <c r="B41" s="29"/>
      <c r="C41" s="6">
        <v>9</v>
      </c>
      <c r="D41" s="37">
        <f t="shared" si="1"/>
        <v>0.5625</v>
      </c>
      <c r="E41" s="34" t="s">
        <v>167</v>
      </c>
      <c r="F41" s="5"/>
      <c r="G41" s="33"/>
      <c r="H41" s="33"/>
      <c r="I41" s="33"/>
      <c r="J41" s="33"/>
      <c r="K41" s="108"/>
      <c r="M41" s="43">
        <v>3.125E-2</v>
      </c>
    </row>
    <row r="42" spans="2:13" ht="40.15" customHeight="1">
      <c r="B42" s="31"/>
      <c r="C42" s="6">
        <v>10</v>
      </c>
      <c r="D42" s="37">
        <f t="shared" si="1"/>
        <v>0.57638888888888884</v>
      </c>
      <c r="E42" s="34" t="s">
        <v>177</v>
      </c>
      <c r="F42" s="5"/>
      <c r="G42" s="33"/>
      <c r="H42" s="33"/>
      <c r="I42" s="33"/>
      <c r="J42" s="33"/>
      <c r="K42" s="109"/>
      <c r="M42" s="43">
        <v>4.5138888888888888E-2</v>
      </c>
    </row>
    <row r="43" spans="2:13" ht="40.15" customHeight="1">
      <c r="B43" s="29"/>
      <c r="C43" s="6">
        <v>11</v>
      </c>
      <c r="D43" s="37">
        <f t="shared" ref="D43:D44" si="2">D$33+M43</f>
        <v>0.58333333333333337</v>
      </c>
      <c r="E43" s="34" t="s">
        <v>150</v>
      </c>
      <c r="F43" s="5"/>
      <c r="G43" s="33"/>
      <c r="H43" s="33"/>
      <c r="I43" s="33"/>
      <c r="J43" s="33"/>
      <c r="K43" s="107" t="s">
        <v>60</v>
      </c>
      <c r="M43" s="43">
        <v>5.2083333333333336E-2</v>
      </c>
    </row>
    <row r="44" spans="2:13" ht="40.15" customHeight="1">
      <c r="B44" s="29"/>
      <c r="C44" s="6">
        <v>12</v>
      </c>
      <c r="D44" s="37">
        <f t="shared" si="2"/>
        <v>0.59027777777777779</v>
      </c>
      <c r="E44" s="34" t="s">
        <v>148</v>
      </c>
      <c r="F44" s="5"/>
      <c r="G44" s="33"/>
      <c r="H44" s="33"/>
      <c r="I44" s="33"/>
      <c r="J44" s="33"/>
      <c r="K44" s="108"/>
      <c r="M44" s="43">
        <v>5.9027777777777776E-2</v>
      </c>
    </row>
    <row r="45" spans="2:13" ht="19.899999999999999" customHeight="1">
      <c r="B45" s="29"/>
      <c r="C45" s="6">
        <v>13</v>
      </c>
      <c r="D45" s="37">
        <f>D$33+M45</f>
        <v>0.59375</v>
      </c>
      <c r="E45" s="33"/>
      <c r="F45" s="33"/>
      <c r="G45" s="33"/>
      <c r="H45" s="33"/>
      <c r="I45" s="5" t="s">
        <v>163</v>
      </c>
      <c r="J45" s="5"/>
      <c r="K45" s="107" t="s">
        <v>61</v>
      </c>
      <c r="M45" s="43">
        <v>6.25E-2</v>
      </c>
    </row>
    <row r="46" spans="2:13" ht="40.15" customHeight="1">
      <c r="B46" s="29"/>
      <c r="C46" s="6">
        <v>14</v>
      </c>
      <c r="D46" s="37">
        <f t="shared" ref="D46" si="3">D$33+M46</f>
        <v>0.59722222222222221</v>
      </c>
      <c r="E46" s="34" t="s">
        <v>164</v>
      </c>
      <c r="F46" s="5"/>
      <c r="G46" s="33"/>
      <c r="H46" s="33"/>
      <c r="I46" s="33"/>
      <c r="J46" s="33"/>
      <c r="K46" s="109"/>
      <c r="M46" s="43">
        <v>6.5972222222222224E-2</v>
      </c>
    </row>
    <row r="47" spans="2:13" ht="19.899999999999999" customHeight="1">
      <c r="B47" s="29"/>
      <c r="C47" s="6">
        <v>15</v>
      </c>
      <c r="D47" s="37">
        <f>D$33+M47</f>
        <v>0.60069444444444442</v>
      </c>
      <c r="E47" s="33"/>
      <c r="F47" s="33"/>
      <c r="G47" s="33"/>
      <c r="H47" s="33"/>
      <c r="I47" s="5" t="s">
        <v>165</v>
      </c>
      <c r="J47" s="5"/>
      <c r="K47" s="5"/>
      <c r="M47" s="43">
        <v>6.9444444444444448E-2</v>
      </c>
    </row>
    <row r="48" spans="2:13" ht="19.899999999999999" customHeight="1">
      <c r="B48" s="29"/>
      <c r="C48" s="6">
        <v>16</v>
      </c>
      <c r="D48" s="37">
        <f>D$33+M48</f>
        <v>0.60416666666666663</v>
      </c>
      <c r="E48" s="33"/>
      <c r="F48" s="33"/>
      <c r="G48" s="34" t="s">
        <v>166</v>
      </c>
      <c r="H48" s="5"/>
      <c r="I48" s="33"/>
      <c r="J48" s="33"/>
      <c r="K48" s="5"/>
      <c r="M48" s="43">
        <v>7.2916666666666671E-2</v>
      </c>
    </row>
    <row r="49" spans="2:13" ht="19.899999999999999" customHeight="1">
      <c r="B49" s="30"/>
      <c r="C49" s="6">
        <v>17</v>
      </c>
      <c r="D49" s="37">
        <f>D$33+M49</f>
        <v>0.60416666666666663</v>
      </c>
      <c r="E49" s="34" t="s">
        <v>167</v>
      </c>
      <c r="F49" s="5"/>
      <c r="G49" s="33"/>
      <c r="H49" s="33"/>
      <c r="I49" s="34" t="s">
        <v>178</v>
      </c>
      <c r="J49" s="5"/>
      <c r="K49" s="5"/>
      <c r="M49" s="43">
        <v>7.2916666666666671E-2</v>
      </c>
    </row>
    <row r="50" spans="2:13" ht="19.899999999999999" customHeight="1"/>
    <row r="51" spans="2:13" ht="19.899999999999999" customHeight="1">
      <c r="D51" s="4" t="s">
        <v>131</v>
      </c>
      <c r="E51" s="3" t="s">
        <v>132</v>
      </c>
    </row>
    <row r="52" spans="2:13" ht="19.899999999999999" customHeight="1">
      <c r="E52" s="3" t="s">
        <v>169</v>
      </c>
    </row>
    <row r="53" spans="2:13" ht="19.899999999999999" customHeight="1"/>
    <row r="54" spans="2:13" ht="19.899999999999999" customHeight="1">
      <c r="D54" s="4"/>
    </row>
    <row r="55" spans="2:13" ht="19.899999999999999" customHeight="1"/>
    <row r="56" spans="2:13" ht="19.899999999999999" customHeight="1"/>
    <row r="57" spans="2:13" ht="19.899999999999999" customHeight="1"/>
    <row r="58" spans="2:13" ht="19.899999999999999" customHeight="1">
      <c r="D58" s="4"/>
    </row>
    <row r="59" spans="2:13" ht="19.899999999999999" customHeight="1"/>
    <row r="60" spans="2:13" ht="19.899999999999999" customHeight="1"/>
    <row r="61" spans="2:13" ht="19.899999999999999" customHeight="1"/>
    <row r="62" spans="2:13" ht="19.899999999999999" customHeight="1"/>
    <row r="63" spans="2:13" ht="19.899999999999999" customHeight="1"/>
    <row r="64" spans="2:13"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sheetData>
  <mergeCells count="12">
    <mergeCell ref="C31:C32"/>
    <mergeCell ref="D31:D32"/>
    <mergeCell ref="E31:J31"/>
    <mergeCell ref="K31:K32"/>
    <mergeCell ref="E32:F32"/>
    <mergeCell ref="G32:H32"/>
    <mergeCell ref="I32:J32"/>
    <mergeCell ref="K35:K36"/>
    <mergeCell ref="K37:K38"/>
    <mergeCell ref="K40:K42"/>
    <mergeCell ref="K43:K44"/>
    <mergeCell ref="K45:K46"/>
  </mergeCells>
  <phoneticPr fontId="2"/>
  <pageMargins left="0.31496062992125984" right="0.31496062992125984" top="0.55118110236220474" bottom="0.35433070866141736" header="0.31496062992125984" footer="0.31496062992125984"/>
  <pageSetup paperSize="9" scale="49" fitToHeight="0"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B1971-FE0C-49A1-8C4D-6EBE96F16721}">
  <sheetPr>
    <tabColor rgb="FFFFFF00"/>
    <pageSetUpPr fitToPage="1"/>
  </sheetPr>
  <dimension ref="B1:M67"/>
  <sheetViews>
    <sheetView tabSelected="1" view="pageBreakPreview" zoomScale="80" zoomScaleNormal="85" zoomScaleSheetLayoutView="80" workbookViewId="0">
      <selection activeCell="N27" sqref="N27"/>
    </sheetView>
  </sheetViews>
  <sheetFormatPr defaultColWidth="8.7265625" defaultRowHeight="15"/>
  <cols>
    <col min="1" max="1" width="1.7265625" style="3" customWidth="1"/>
    <col min="2" max="2" width="6.7265625" style="3" customWidth="1"/>
    <col min="3" max="3" width="4.26953125" style="3" customWidth="1"/>
    <col min="4" max="4" width="8.7265625" style="3" customWidth="1"/>
    <col min="5" max="5" width="35.7265625" style="3" customWidth="1"/>
    <col min="6" max="6" width="4.453125" style="3" customWidth="1"/>
    <col min="7" max="7" width="25.7265625" style="3" customWidth="1"/>
    <col min="8" max="8" width="4.453125" style="3" customWidth="1"/>
    <col min="9" max="9" width="30.7265625" style="3" customWidth="1"/>
    <col min="10" max="10" width="4.453125" style="3" customWidth="1"/>
    <col min="11" max="11" width="7.453125" style="3" bestFit="1" customWidth="1"/>
    <col min="12" max="12" width="1.7265625" style="3" customWidth="1"/>
    <col min="13" max="13" width="8.7265625" style="42"/>
    <col min="14" max="14" width="11.7265625" style="3" bestFit="1" customWidth="1"/>
    <col min="15" max="16384" width="8.7265625" style="3"/>
  </cols>
  <sheetData>
    <row r="1" spans="2:11" ht="21" customHeight="1">
      <c r="B1" s="13" t="s">
        <v>179</v>
      </c>
      <c r="C1" s="4"/>
      <c r="D1" s="4"/>
      <c r="K1" s="4"/>
    </row>
    <row r="2" spans="2:11" ht="16">
      <c r="B2" s="40"/>
      <c r="C2" s="39"/>
      <c r="D2" s="4"/>
      <c r="K2" s="4"/>
    </row>
    <row r="3" spans="2:11">
      <c r="B3" s="19" t="s">
        <v>83</v>
      </c>
      <c r="C3" s="25" t="s">
        <v>180</v>
      </c>
      <c r="D3" s="23"/>
      <c r="E3" s="23"/>
      <c r="F3" s="23"/>
      <c r="G3" s="23"/>
      <c r="H3" s="23"/>
      <c r="I3" s="23"/>
      <c r="J3" s="23"/>
      <c r="K3" s="35"/>
    </row>
    <row r="4" spans="2:11">
      <c r="B4" s="20"/>
      <c r="C4" s="25" t="s">
        <v>181</v>
      </c>
      <c r="K4" s="17"/>
    </row>
    <row r="5" spans="2:11">
      <c r="B5" s="21"/>
      <c r="C5" s="49"/>
      <c r="D5" s="27"/>
      <c r="E5" s="27"/>
      <c r="F5" s="27"/>
      <c r="G5" s="27"/>
      <c r="H5" s="27"/>
      <c r="I5" s="27" t="s">
        <v>182</v>
      </c>
      <c r="J5" s="27"/>
      <c r="K5" s="36"/>
    </row>
    <row r="6" spans="2:11">
      <c r="B6" s="19" t="s">
        <v>87</v>
      </c>
      <c r="C6" s="22" t="s">
        <v>183</v>
      </c>
      <c r="D6" s="23"/>
      <c r="E6" s="23"/>
      <c r="F6" s="23"/>
      <c r="G6" s="23"/>
      <c r="H6" s="23"/>
      <c r="I6" s="23"/>
      <c r="J6" s="23"/>
      <c r="K6" s="35"/>
    </row>
    <row r="7" spans="2:11">
      <c r="B7" s="20"/>
      <c r="C7" s="25" t="s">
        <v>89</v>
      </c>
      <c r="K7" s="17"/>
    </row>
    <row r="8" spans="2:11">
      <c r="B8" s="21"/>
      <c r="C8" s="26"/>
      <c r="D8" s="27"/>
      <c r="E8" s="27"/>
      <c r="F8" s="27"/>
      <c r="G8" s="27"/>
      <c r="H8" s="27"/>
      <c r="I8" s="27"/>
      <c r="J8" s="27"/>
      <c r="K8" s="36"/>
    </row>
    <row r="9" spans="2:11">
      <c r="B9" s="19" t="s">
        <v>90</v>
      </c>
      <c r="C9" s="82" t="s">
        <v>184</v>
      </c>
      <c r="D9" s="80"/>
      <c r="J9" s="23"/>
      <c r="K9" s="24" t="s">
        <v>26</v>
      </c>
    </row>
    <row r="10" spans="2:11">
      <c r="B10" s="31"/>
      <c r="C10" s="82" t="s">
        <v>185</v>
      </c>
      <c r="D10" s="80"/>
      <c r="K10" s="18"/>
    </row>
    <row r="11" spans="2:11">
      <c r="B11" s="29"/>
      <c r="C11" s="3" t="s">
        <v>186</v>
      </c>
      <c r="K11" s="18" t="s">
        <v>27</v>
      </c>
    </row>
    <row r="12" spans="2:11">
      <c r="B12" s="29"/>
      <c r="K12" s="18"/>
    </row>
    <row r="13" spans="2:11">
      <c r="B13" s="29"/>
      <c r="K13" s="18"/>
    </row>
    <row r="14" spans="2:11">
      <c r="B14" s="29"/>
      <c r="G14" s="3">
        <f>1500*0.05</f>
        <v>75</v>
      </c>
      <c r="K14" s="18"/>
    </row>
    <row r="15" spans="2:11">
      <c r="B15" s="29"/>
      <c r="K15" s="18"/>
    </row>
    <row r="16" spans="2:11">
      <c r="B16" s="29"/>
      <c r="K16" s="18"/>
    </row>
    <row r="17" spans="2:11">
      <c r="B17" s="29"/>
      <c r="K17" s="18"/>
    </row>
    <row r="18" spans="2:11">
      <c r="B18" s="29"/>
      <c r="K18" s="18"/>
    </row>
    <row r="19" spans="2:11">
      <c r="B19" s="29"/>
      <c r="K19" s="18"/>
    </row>
    <row r="20" spans="2:11">
      <c r="B20" s="29"/>
      <c r="K20" s="18"/>
    </row>
    <row r="21" spans="2:11">
      <c r="B21" s="29"/>
      <c r="K21" s="18"/>
    </row>
    <row r="22" spans="2:11">
      <c r="B22" s="29"/>
      <c r="K22" s="18"/>
    </row>
    <row r="23" spans="2:11">
      <c r="B23" s="29"/>
      <c r="K23" s="18"/>
    </row>
    <row r="24" spans="2:11">
      <c r="B24" s="29"/>
      <c r="K24" s="18"/>
    </row>
    <row r="25" spans="2:11">
      <c r="B25" s="29"/>
      <c r="K25" s="18"/>
    </row>
    <row r="26" spans="2:11">
      <c r="B26" s="29"/>
      <c r="K26" s="18"/>
    </row>
    <row r="27" spans="2:11">
      <c r="B27" s="29"/>
      <c r="K27" s="18"/>
    </row>
    <row r="28" spans="2:11">
      <c r="B28" s="29"/>
      <c r="K28" s="18"/>
    </row>
    <row r="29" spans="2:11">
      <c r="B29" s="30"/>
      <c r="C29" s="32"/>
      <c r="D29" s="27"/>
      <c r="E29" s="27"/>
      <c r="F29" s="27"/>
      <c r="G29" s="27"/>
      <c r="H29" s="27"/>
      <c r="I29" s="27"/>
      <c r="J29" s="27"/>
      <c r="K29" s="28"/>
    </row>
    <row r="31" spans="2:11">
      <c r="B31" s="19" t="s">
        <v>101</v>
      </c>
      <c r="C31" s="110" t="s">
        <v>102</v>
      </c>
      <c r="D31" s="111" t="s">
        <v>103</v>
      </c>
      <c r="E31" s="113" t="s">
        <v>104</v>
      </c>
      <c r="F31" s="114"/>
      <c r="G31" s="114"/>
      <c r="H31" s="114"/>
      <c r="I31" s="114"/>
      <c r="J31" s="115"/>
      <c r="K31" s="111" t="s">
        <v>105</v>
      </c>
    </row>
    <row r="32" spans="2:11">
      <c r="B32" s="31"/>
      <c r="C32" s="110"/>
      <c r="D32" s="112"/>
      <c r="E32" s="110" t="s">
        <v>106</v>
      </c>
      <c r="F32" s="110"/>
      <c r="G32" s="110" t="s">
        <v>107</v>
      </c>
      <c r="H32" s="110"/>
      <c r="I32" s="110" t="s">
        <v>108</v>
      </c>
      <c r="J32" s="110"/>
      <c r="K32" s="112"/>
    </row>
    <row r="33" spans="2:13" ht="40.15" customHeight="1">
      <c r="B33" s="31"/>
      <c r="C33" s="6">
        <v>1</v>
      </c>
      <c r="D33" s="37">
        <v>0.53125</v>
      </c>
      <c r="E33" s="5" t="s">
        <v>187</v>
      </c>
      <c r="F33" s="5"/>
      <c r="G33" s="33"/>
      <c r="H33" s="33"/>
      <c r="I33" s="5" t="s">
        <v>188</v>
      </c>
      <c r="J33" s="5"/>
      <c r="K33" s="5"/>
    </row>
    <row r="34" spans="2:13" ht="40.15" customHeight="1">
      <c r="B34" s="31"/>
      <c r="C34" s="6">
        <v>2</v>
      </c>
      <c r="D34" s="37">
        <f>D$33+M34</f>
        <v>0.53472222222222221</v>
      </c>
      <c r="E34" s="33"/>
      <c r="F34" s="33"/>
      <c r="G34" s="33"/>
      <c r="H34" s="33"/>
      <c r="I34" s="81" t="s">
        <v>189</v>
      </c>
      <c r="J34" s="5"/>
      <c r="K34" s="46" t="s">
        <v>26</v>
      </c>
      <c r="M34" s="43">
        <v>3.472222222222222E-3</v>
      </c>
    </row>
    <row r="35" spans="2:13" ht="40.15" customHeight="1">
      <c r="B35" s="31"/>
      <c r="C35" s="6">
        <v>2</v>
      </c>
      <c r="D35" s="37">
        <f>D$33+M35</f>
        <v>0.53472222222222221</v>
      </c>
      <c r="E35" s="33"/>
      <c r="F35" s="33"/>
      <c r="G35" s="33"/>
      <c r="H35" s="33"/>
      <c r="I35" s="81" t="s">
        <v>190</v>
      </c>
      <c r="J35" s="5"/>
      <c r="K35" s="46" t="s">
        <v>26</v>
      </c>
      <c r="M35" s="43">
        <v>3.472222222222222E-3</v>
      </c>
    </row>
    <row r="36" spans="2:13" ht="40.15" customHeight="1">
      <c r="B36" s="29"/>
      <c r="C36" s="6">
        <v>3</v>
      </c>
      <c r="D36" s="37">
        <f t="shared" ref="D36:D39" si="0">D$33+M36</f>
        <v>0.53819444444444442</v>
      </c>
      <c r="E36" s="34" t="s">
        <v>164</v>
      </c>
      <c r="F36" s="5"/>
      <c r="G36" s="33"/>
      <c r="H36" s="33"/>
      <c r="I36" s="33"/>
      <c r="J36" s="33"/>
      <c r="K36" s="6" t="s">
        <v>27</v>
      </c>
      <c r="M36" s="43">
        <v>6.9444444444444441E-3</v>
      </c>
    </row>
    <row r="37" spans="2:13" ht="40.15" customHeight="1">
      <c r="B37" s="29"/>
      <c r="C37" s="6">
        <v>4</v>
      </c>
      <c r="D37" s="37">
        <f t="shared" si="0"/>
        <v>0.54166666666666663</v>
      </c>
      <c r="E37" s="33"/>
      <c r="F37" s="33"/>
      <c r="G37" s="33"/>
      <c r="H37" s="33"/>
      <c r="I37" s="81" t="s">
        <v>191</v>
      </c>
      <c r="J37" s="5"/>
      <c r="K37" s="46" t="s">
        <v>28</v>
      </c>
      <c r="M37" s="43">
        <v>1.0416666666666666E-2</v>
      </c>
    </row>
    <row r="38" spans="2:13" ht="40.15" customHeight="1">
      <c r="B38" s="29"/>
      <c r="C38" s="6">
        <v>4</v>
      </c>
      <c r="D38" s="37">
        <f t="shared" ref="D38" si="1">D$33+M38</f>
        <v>0.54513888888888884</v>
      </c>
      <c r="E38" s="33"/>
      <c r="F38" s="33"/>
      <c r="G38" s="33"/>
      <c r="H38" s="33"/>
      <c r="I38" s="81" t="s">
        <v>192</v>
      </c>
      <c r="J38" s="5"/>
      <c r="K38" s="46" t="s">
        <v>28</v>
      </c>
      <c r="M38" s="43">
        <v>1.3888888888888888E-2</v>
      </c>
    </row>
    <row r="39" spans="2:13" ht="19.899999999999999" customHeight="1">
      <c r="B39" s="29"/>
      <c r="C39" s="6">
        <v>5</v>
      </c>
      <c r="D39" s="37">
        <f t="shared" si="0"/>
        <v>0.54861111111111116</v>
      </c>
      <c r="E39" s="5" t="s">
        <v>193</v>
      </c>
      <c r="F39" s="5"/>
      <c r="G39" s="33"/>
      <c r="H39" s="33"/>
      <c r="I39" s="33"/>
      <c r="J39" s="33"/>
      <c r="K39" s="6" t="s">
        <v>29</v>
      </c>
      <c r="M39" s="43">
        <v>1.7361111111111112E-2</v>
      </c>
    </row>
    <row r="40" spans="2:13" ht="40.15" customHeight="1">
      <c r="B40" s="29"/>
      <c r="C40" s="6">
        <v>6</v>
      </c>
      <c r="D40" s="37"/>
      <c r="E40" s="34"/>
      <c r="F40" s="5"/>
      <c r="G40" s="5"/>
      <c r="H40" s="5"/>
      <c r="I40" s="5"/>
      <c r="J40" s="5"/>
      <c r="K40" s="5"/>
      <c r="M40" s="43"/>
    </row>
    <row r="41" spans="2:13" ht="19.899999999999999" customHeight="1">
      <c r="B41" s="29"/>
      <c r="C41" s="6">
        <v>7</v>
      </c>
      <c r="D41" s="37"/>
      <c r="E41" s="5"/>
      <c r="F41" s="5"/>
      <c r="G41" s="5"/>
      <c r="H41" s="5"/>
      <c r="I41" s="5"/>
      <c r="J41" s="5"/>
      <c r="K41" s="5"/>
      <c r="M41" s="43"/>
    </row>
    <row r="42" spans="2:13" ht="19.899999999999999" customHeight="1">
      <c r="B42" s="29"/>
      <c r="C42" s="6">
        <v>8</v>
      </c>
      <c r="D42" s="37"/>
      <c r="E42" s="5"/>
      <c r="F42" s="5"/>
      <c r="G42" s="34"/>
      <c r="H42" s="5"/>
      <c r="I42" s="5"/>
      <c r="J42" s="5"/>
      <c r="K42" s="5"/>
      <c r="M42" s="43"/>
    </row>
    <row r="43" spans="2:13" ht="19.899999999999999" customHeight="1">
      <c r="B43" s="29"/>
      <c r="C43" s="6">
        <v>9</v>
      </c>
      <c r="D43" s="37"/>
      <c r="E43" s="34"/>
      <c r="F43" s="5"/>
      <c r="G43" s="5"/>
      <c r="H43" s="5"/>
      <c r="I43" s="5"/>
      <c r="J43" s="5"/>
      <c r="K43" s="5"/>
      <c r="M43" s="43"/>
    </row>
    <row r="44" spans="2:13" ht="40.15" customHeight="1">
      <c r="B44" s="21"/>
      <c r="C44" s="6">
        <v>10</v>
      </c>
      <c r="D44" s="37"/>
      <c r="E44" s="34"/>
      <c r="F44" s="5"/>
      <c r="G44" s="5"/>
      <c r="H44" s="5"/>
      <c r="I44" s="5"/>
      <c r="J44" s="5"/>
      <c r="K44" s="5"/>
      <c r="M44" s="43"/>
    </row>
    <row r="45" spans="2:13" ht="19.899999999999999" customHeight="1"/>
    <row r="46" spans="2:13" ht="19.899999999999999" customHeight="1">
      <c r="D46" s="4"/>
    </row>
    <row r="47" spans="2:13" ht="19.899999999999999" customHeight="1"/>
    <row r="48" spans="2:13" ht="19.899999999999999" customHeight="1"/>
    <row r="49" spans="4:4" ht="19.899999999999999" customHeight="1">
      <c r="D49" s="4"/>
    </row>
    <row r="50" spans="4:4" ht="19.899999999999999" customHeight="1"/>
    <row r="51" spans="4:4" ht="19.899999999999999" customHeight="1"/>
    <row r="52" spans="4:4" ht="19.899999999999999" customHeight="1"/>
    <row r="53" spans="4:4" ht="19.899999999999999" customHeight="1">
      <c r="D53" s="4"/>
    </row>
    <row r="54" spans="4:4" ht="19.899999999999999" customHeight="1"/>
    <row r="55" spans="4:4" ht="19.899999999999999" customHeight="1"/>
    <row r="56" spans="4:4" ht="19.899999999999999" customHeight="1"/>
    <row r="57" spans="4:4" ht="19.899999999999999" customHeight="1"/>
    <row r="58" spans="4:4" ht="19.899999999999999" customHeight="1"/>
    <row r="59" spans="4:4" ht="19.899999999999999" customHeight="1"/>
    <row r="60" spans="4:4" ht="19.899999999999999" customHeight="1"/>
    <row r="61" spans="4:4" ht="19.899999999999999" customHeight="1"/>
    <row r="62" spans="4:4" ht="19.899999999999999" customHeight="1"/>
    <row r="63" spans="4:4" ht="19.899999999999999" customHeight="1"/>
    <row r="64" spans="4:4" ht="19.899999999999999" customHeight="1"/>
    <row r="65" ht="19.899999999999999" customHeight="1"/>
    <row r="66" ht="19.899999999999999" customHeight="1"/>
    <row r="67" ht="19.899999999999999" customHeight="1"/>
  </sheetData>
  <mergeCells count="7">
    <mergeCell ref="C31:C32"/>
    <mergeCell ref="D31:D32"/>
    <mergeCell ref="E31:J31"/>
    <mergeCell ref="K31:K32"/>
    <mergeCell ref="E32:F32"/>
    <mergeCell ref="G32:H32"/>
    <mergeCell ref="I32:J32"/>
  </mergeCells>
  <phoneticPr fontId="2"/>
  <pageMargins left="0.31496062992125984" right="0.31496062992125984" top="0.55118110236220474" bottom="0.35433070866141736" header="0.31496062992125984" footer="0.31496062992125984"/>
  <pageSetup paperSize="9" scale="43" fitToHeight="0"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696B-7D7A-4382-9044-567804C29980}">
  <sheetPr>
    <tabColor rgb="FFFFC000"/>
    <pageSetUpPr fitToPage="1"/>
  </sheetPr>
  <dimension ref="B1:M64"/>
  <sheetViews>
    <sheetView view="pageBreakPreview" topLeftCell="A26" zoomScale="82" zoomScaleNormal="85" zoomScaleSheetLayoutView="82" workbookViewId="0">
      <selection activeCell="E40" sqref="E40"/>
    </sheetView>
  </sheetViews>
  <sheetFormatPr defaultColWidth="8.7265625" defaultRowHeight="15"/>
  <cols>
    <col min="1" max="1" width="1.7265625" style="3" customWidth="1"/>
    <col min="2" max="2" width="6.7265625" style="3" customWidth="1"/>
    <col min="3" max="3" width="4.26953125" style="3" customWidth="1"/>
    <col min="4" max="4" width="8.7265625" style="3" customWidth="1"/>
    <col min="5" max="5" width="35.7265625" style="3" customWidth="1"/>
    <col min="6" max="6" width="4.453125" style="3" customWidth="1"/>
    <col min="7" max="7" width="25.7265625" style="3" customWidth="1"/>
    <col min="8" max="8" width="4.453125" style="3" customWidth="1"/>
    <col min="9" max="9" width="30.7265625" style="3" customWidth="1"/>
    <col min="10" max="10" width="4.453125" style="3" customWidth="1"/>
    <col min="11" max="11" width="7.453125" style="3" bestFit="1" customWidth="1"/>
    <col min="12" max="12" width="1.7265625" style="3" customWidth="1"/>
    <col min="13" max="13" width="8.7265625" style="42"/>
    <col min="14" max="14" width="11.7265625" style="3" bestFit="1" customWidth="1"/>
    <col min="15" max="16384" width="8.7265625" style="3"/>
  </cols>
  <sheetData>
    <row r="1" spans="2:13" ht="21" customHeight="1">
      <c r="B1" s="13" t="s">
        <v>74</v>
      </c>
      <c r="C1" s="4"/>
      <c r="D1" s="4"/>
      <c r="K1" s="4"/>
    </row>
    <row r="2" spans="2:13" ht="16">
      <c r="B2" s="40"/>
      <c r="C2" s="39"/>
      <c r="D2" s="4"/>
      <c r="K2" s="4"/>
    </row>
    <row r="3" spans="2:13">
      <c r="B3" s="19" t="s">
        <v>83</v>
      </c>
      <c r="C3" s="25" t="s">
        <v>194</v>
      </c>
      <c r="D3" s="23"/>
      <c r="E3" s="23"/>
      <c r="F3" s="23"/>
      <c r="G3" s="23"/>
      <c r="H3" s="23"/>
      <c r="I3" s="23"/>
      <c r="J3" s="23"/>
      <c r="K3" s="35"/>
    </row>
    <row r="4" spans="2:13">
      <c r="B4" s="20"/>
      <c r="C4" s="25" t="s">
        <v>195</v>
      </c>
      <c r="K4" s="17"/>
      <c r="M4" s="42" t="s">
        <v>196</v>
      </c>
    </row>
    <row r="5" spans="2:13">
      <c r="B5" s="20"/>
      <c r="C5" s="25"/>
      <c r="K5" s="17"/>
    </row>
    <row r="6" spans="2:13">
      <c r="B6" s="21"/>
      <c r="C6" s="26"/>
      <c r="D6" s="27"/>
      <c r="E6" s="27"/>
      <c r="F6" s="27"/>
      <c r="G6" s="27"/>
      <c r="H6" s="27"/>
      <c r="I6" s="27" t="s">
        <v>86</v>
      </c>
      <c r="J6" s="27"/>
      <c r="K6" s="36"/>
    </row>
    <row r="7" spans="2:13">
      <c r="B7" s="19" t="s">
        <v>87</v>
      </c>
      <c r="C7" s="22" t="s">
        <v>197</v>
      </c>
      <c r="D7" s="23"/>
      <c r="E7" s="23"/>
      <c r="F7" s="23"/>
      <c r="G7" s="23"/>
      <c r="H7" s="23"/>
      <c r="I7" s="23"/>
      <c r="J7" s="23"/>
      <c r="K7" s="35"/>
    </row>
    <row r="8" spans="2:13">
      <c r="B8" s="20"/>
      <c r="C8" s="25" t="s">
        <v>89</v>
      </c>
      <c r="K8" s="17"/>
    </row>
    <row r="9" spans="2:13">
      <c r="B9" s="21"/>
      <c r="C9" s="26"/>
      <c r="D9" s="27"/>
      <c r="E9" s="27"/>
      <c r="F9" s="27"/>
      <c r="G9" s="27"/>
      <c r="H9" s="27"/>
      <c r="I9" s="27"/>
      <c r="J9" s="27"/>
      <c r="K9" s="36"/>
    </row>
    <row r="10" spans="2:13">
      <c r="B10" s="19" t="s">
        <v>90</v>
      </c>
      <c r="C10" s="3" t="s">
        <v>198</v>
      </c>
      <c r="D10" s="23"/>
      <c r="E10" s="23"/>
      <c r="F10" s="23"/>
      <c r="G10" s="23"/>
      <c r="H10" s="23"/>
      <c r="I10" s="23"/>
      <c r="J10" s="23"/>
      <c r="K10" s="24" t="s">
        <v>26</v>
      </c>
    </row>
    <row r="11" spans="2:13">
      <c r="B11" s="29"/>
      <c r="C11" s="3" t="s">
        <v>199</v>
      </c>
      <c r="K11" s="18"/>
    </row>
    <row r="12" spans="2:13">
      <c r="B12" s="29"/>
      <c r="C12" s="3" t="s">
        <v>200</v>
      </c>
      <c r="K12" s="18"/>
    </row>
    <row r="13" spans="2:13">
      <c r="B13" s="29"/>
      <c r="K13" s="18" t="s">
        <v>27</v>
      </c>
    </row>
    <row r="14" spans="2:13">
      <c r="B14" s="29"/>
      <c r="C14" s="3" t="s">
        <v>201</v>
      </c>
      <c r="K14" s="18" t="s">
        <v>59</v>
      </c>
    </row>
    <row r="15" spans="2:13">
      <c r="B15" s="29"/>
      <c r="C15" s="3" t="s">
        <v>202</v>
      </c>
      <c r="K15" s="18" t="s">
        <v>60</v>
      </c>
    </row>
    <row r="16" spans="2:13">
      <c r="B16" s="29"/>
      <c r="C16" s="3" t="s">
        <v>203</v>
      </c>
      <c r="K16" s="18" t="s">
        <v>61</v>
      </c>
    </row>
    <row r="17" spans="2:11">
      <c r="B17" s="29"/>
      <c r="C17" s="3" t="s">
        <v>204</v>
      </c>
      <c r="K17" s="18"/>
    </row>
    <row r="18" spans="2:11">
      <c r="B18" s="29"/>
      <c r="K18" s="18"/>
    </row>
    <row r="19" spans="2:11">
      <c r="B19" s="29"/>
      <c r="K19" s="18"/>
    </row>
    <row r="20" spans="2:11">
      <c r="B20" s="29"/>
      <c r="K20" s="18"/>
    </row>
    <row r="21" spans="2:11">
      <c r="B21" s="29"/>
      <c r="K21" s="18"/>
    </row>
    <row r="22" spans="2:11">
      <c r="B22" s="29"/>
      <c r="K22" s="18"/>
    </row>
    <row r="23" spans="2:11">
      <c r="B23" s="29"/>
      <c r="K23" s="18"/>
    </row>
    <row r="24" spans="2:11">
      <c r="B24" s="29"/>
      <c r="K24" s="18"/>
    </row>
    <row r="25" spans="2:11">
      <c r="B25" s="29"/>
      <c r="K25" s="18"/>
    </row>
    <row r="26" spans="2:11">
      <c r="B26" s="29"/>
      <c r="K26" s="18"/>
    </row>
    <row r="27" spans="2:11">
      <c r="B27" s="29"/>
      <c r="K27" s="18"/>
    </row>
    <row r="28" spans="2:11">
      <c r="B28" s="30"/>
      <c r="C28" s="32"/>
      <c r="D28" s="27"/>
      <c r="E28" s="27"/>
      <c r="F28" s="27"/>
      <c r="G28" s="27"/>
      <c r="H28" s="27"/>
      <c r="I28" s="27"/>
      <c r="J28" s="27"/>
      <c r="K28" s="28"/>
    </row>
    <row r="30" spans="2:11">
      <c r="B30" s="19" t="s">
        <v>101</v>
      </c>
      <c r="C30" s="110" t="s">
        <v>102</v>
      </c>
      <c r="D30" s="111" t="s">
        <v>103</v>
      </c>
      <c r="E30" s="113" t="s">
        <v>104</v>
      </c>
      <c r="F30" s="114"/>
      <c r="G30" s="114"/>
      <c r="H30" s="114"/>
      <c r="I30" s="114"/>
      <c r="J30" s="115"/>
      <c r="K30" s="111" t="s">
        <v>105</v>
      </c>
    </row>
    <row r="31" spans="2:11">
      <c r="B31" s="31"/>
      <c r="C31" s="110"/>
      <c r="D31" s="112"/>
      <c r="E31" s="110" t="s">
        <v>106</v>
      </c>
      <c r="F31" s="110"/>
      <c r="G31" s="110" t="s">
        <v>107</v>
      </c>
      <c r="H31" s="110"/>
      <c r="I31" s="110" t="s">
        <v>108</v>
      </c>
      <c r="J31" s="110"/>
      <c r="K31" s="112"/>
    </row>
    <row r="32" spans="2:11" ht="19.899999999999999" customHeight="1">
      <c r="B32" s="31"/>
      <c r="C32" s="6">
        <v>1</v>
      </c>
      <c r="D32" s="37">
        <v>0.53472222222222221</v>
      </c>
      <c r="E32" s="5" t="s">
        <v>205</v>
      </c>
      <c r="F32" s="5"/>
      <c r="G32" s="33"/>
      <c r="H32" s="33"/>
      <c r="I32" s="5" t="s">
        <v>206</v>
      </c>
      <c r="J32" s="5"/>
      <c r="K32" s="5"/>
    </row>
    <row r="33" spans="2:13" ht="40.15" customHeight="1">
      <c r="B33" s="31"/>
      <c r="C33" s="6">
        <v>2</v>
      </c>
      <c r="D33" s="37">
        <f>D$32+M33</f>
        <v>0.53819444444444442</v>
      </c>
      <c r="E33" s="33"/>
      <c r="F33" s="33"/>
      <c r="G33" s="83" t="s">
        <v>207</v>
      </c>
      <c r="H33" s="5"/>
      <c r="I33" s="34" t="s">
        <v>208</v>
      </c>
      <c r="J33" s="5"/>
      <c r="K33" s="128" t="s">
        <v>26</v>
      </c>
      <c r="M33" s="43">
        <v>3.472222222222222E-3</v>
      </c>
    </row>
    <row r="34" spans="2:13" ht="40.15" customHeight="1">
      <c r="B34" s="29"/>
      <c r="C34" s="6">
        <v>3</v>
      </c>
      <c r="D34" s="37">
        <f t="shared" ref="D34:D35" si="0">D$32+M34</f>
        <v>0.53819444444444442</v>
      </c>
      <c r="E34" s="34" t="s">
        <v>209</v>
      </c>
      <c r="F34" s="5"/>
      <c r="G34" s="33"/>
      <c r="H34" s="33"/>
      <c r="I34" s="33"/>
      <c r="J34" s="33"/>
      <c r="K34" s="128"/>
      <c r="M34" s="43">
        <v>3.472222222222222E-3</v>
      </c>
    </row>
    <row r="35" spans="2:13" ht="40.15" customHeight="1">
      <c r="B35" s="29"/>
      <c r="C35" s="6">
        <v>4</v>
      </c>
      <c r="D35" s="37">
        <f t="shared" si="0"/>
        <v>0.54166666666666663</v>
      </c>
      <c r="E35" s="33"/>
      <c r="F35" s="33"/>
      <c r="G35" s="83" t="s">
        <v>210</v>
      </c>
      <c r="H35" s="5"/>
      <c r="I35" s="34" t="s">
        <v>211</v>
      </c>
      <c r="J35" s="5"/>
      <c r="K35" s="128" t="s">
        <v>27</v>
      </c>
      <c r="M35" s="43">
        <v>6.9444444444444441E-3</v>
      </c>
    </row>
    <row r="36" spans="2:13" ht="19.899999999999999" customHeight="1">
      <c r="B36" s="29"/>
      <c r="C36" s="6">
        <v>5</v>
      </c>
      <c r="D36" s="37">
        <f>D$32+M36</f>
        <v>0.54513888888888884</v>
      </c>
      <c r="E36" s="5" t="s">
        <v>167</v>
      </c>
      <c r="F36" s="5"/>
      <c r="G36" s="33"/>
      <c r="H36" s="33"/>
      <c r="I36" s="33"/>
      <c r="J36" s="33"/>
      <c r="K36" s="128"/>
      <c r="M36" s="43">
        <v>1.0416666666666666E-2</v>
      </c>
    </row>
    <row r="37" spans="2:13" ht="40.15" customHeight="1">
      <c r="B37" s="29"/>
      <c r="C37" s="6">
        <v>6</v>
      </c>
      <c r="D37" s="37">
        <f t="shared" ref="D37:D38" si="1">D$32+M37</f>
        <v>0.55208333333333337</v>
      </c>
      <c r="E37" s="33"/>
      <c r="F37" s="33"/>
      <c r="G37" s="5" t="s">
        <v>212</v>
      </c>
      <c r="H37" s="5"/>
      <c r="I37" s="33"/>
      <c r="J37" s="33"/>
      <c r="K37" s="6" t="s">
        <v>59</v>
      </c>
      <c r="M37" s="43">
        <v>1.7361111111111112E-2</v>
      </c>
    </row>
    <row r="38" spans="2:13" ht="40.15" customHeight="1">
      <c r="B38" s="29"/>
      <c r="C38" s="6">
        <v>7</v>
      </c>
      <c r="D38" s="37">
        <f t="shared" si="1"/>
        <v>0.55555555555555558</v>
      </c>
      <c r="E38" s="33"/>
      <c r="F38" s="33"/>
      <c r="G38" s="83" t="s">
        <v>213</v>
      </c>
      <c r="H38" s="5"/>
      <c r="I38" s="34" t="s">
        <v>214</v>
      </c>
      <c r="J38" s="5"/>
      <c r="K38" s="46" t="s">
        <v>60</v>
      </c>
      <c r="M38" s="43">
        <v>2.0833333333333332E-2</v>
      </c>
    </row>
    <row r="39" spans="2:13" ht="40.15" customHeight="1">
      <c r="B39" s="29"/>
      <c r="C39" s="6">
        <v>8</v>
      </c>
      <c r="D39" s="37">
        <f>D$32+M39</f>
        <v>0.55902777777777779</v>
      </c>
      <c r="E39" s="33"/>
      <c r="F39" s="33"/>
      <c r="G39" s="5" t="s">
        <v>215</v>
      </c>
      <c r="H39" s="5"/>
      <c r="I39" s="33"/>
      <c r="J39" s="33"/>
      <c r="K39" s="107" t="s">
        <v>61</v>
      </c>
      <c r="M39" s="43">
        <v>2.4305555555555556E-2</v>
      </c>
    </row>
    <row r="40" spans="2:13" ht="40.15" customHeight="1">
      <c r="B40" s="29"/>
      <c r="C40" s="6">
        <v>9</v>
      </c>
      <c r="D40" s="37">
        <f>D$32+M40</f>
        <v>0.55902777777777779</v>
      </c>
      <c r="E40" s="34" t="s">
        <v>209</v>
      </c>
      <c r="F40" s="5"/>
      <c r="G40" s="33"/>
      <c r="H40" s="33"/>
      <c r="I40" s="33"/>
      <c r="J40" s="33"/>
      <c r="K40" s="109"/>
      <c r="M40" s="43">
        <v>2.4305555555555556E-2</v>
      </c>
    </row>
    <row r="41" spans="2:13" ht="40.15" customHeight="1">
      <c r="B41" s="30"/>
      <c r="C41" s="6">
        <v>10</v>
      </c>
      <c r="D41" s="37">
        <f t="shared" ref="D41" si="2">D$32+M41</f>
        <v>0.5625</v>
      </c>
      <c r="E41" s="33"/>
      <c r="F41" s="33"/>
      <c r="G41" s="83" t="s">
        <v>210</v>
      </c>
      <c r="H41" s="5"/>
      <c r="I41" s="34" t="s">
        <v>216</v>
      </c>
      <c r="J41" s="5"/>
      <c r="K41" s="47"/>
      <c r="M41" s="43">
        <v>2.7777777777777776E-2</v>
      </c>
    </row>
    <row r="42" spans="2:13" ht="30" customHeight="1">
      <c r="G42" s="5" t="s">
        <v>217</v>
      </c>
    </row>
    <row r="43" spans="2:13" ht="19.899999999999999" customHeight="1">
      <c r="D43" s="4" t="s">
        <v>131</v>
      </c>
      <c r="E43" s="3" t="s">
        <v>132</v>
      </c>
    </row>
    <row r="44" spans="2:13" ht="19.899999999999999" customHeight="1">
      <c r="E44" s="3" t="s">
        <v>169</v>
      </c>
    </row>
    <row r="45" spans="2:13" ht="19.899999999999999" customHeight="1"/>
    <row r="46" spans="2:13" ht="19.899999999999999" customHeight="1">
      <c r="D46" s="4"/>
    </row>
    <row r="47" spans="2:13" ht="19.899999999999999" customHeight="1"/>
    <row r="48" spans="2:13" ht="19.899999999999999" customHeight="1"/>
    <row r="49" spans="4:4" ht="19.899999999999999" customHeight="1"/>
    <row r="50" spans="4:4" ht="19.899999999999999" customHeight="1">
      <c r="D50" s="4"/>
    </row>
    <row r="51" spans="4:4" ht="19.899999999999999" customHeight="1"/>
    <row r="52" spans="4:4" ht="19.899999999999999" customHeight="1"/>
    <row r="53" spans="4:4" ht="19.899999999999999" customHeight="1"/>
    <row r="54" spans="4:4" ht="19.899999999999999" customHeight="1"/>
    <row r="55" spans="4:4" ht="19.899999999999999" customHeight="1"/>
    <row r="56" spans="4:4" ht="19.899999999999999" customHeight="1"/>
    <row r="57" spans="4:4" ht="19.899999999999999" customHeight="1"/>
    <row r="58" spans="4:4" ht="19.899999999999999" customHeight="1"/>
    <row r="59" spans="4:4" ht="19.899999999999999" customHeight="1"/>
    <row r="60" spans="4:4" ht="19.899999999999999" customHeight="1"/>
    <row r="61" spans="4:4" ht="19.899999999999999" customHeight="1"/>
    <row r="62" spans="4:4" ht="19.899999999999999" customHeight="1"/>
    <row r="63" spans="4:4" ht="19.899999999999999" customHeight="1"/>
    <row r="64" spans="4:4" ht="19.899999999999999" customHeight="1"/>
  </sheetData>
  <mergeCells count="10">
    <mergeCell ref="K33:K34"/>
    <mergeCell ref="K35:K36"/>
    <mergeCell ref="K39:K40"/>
    <mergeCell ref="C30:C31"/>
    <mergeCell ref="D30:D31"/>
    <mergeCell ref="E30:J30"/>
    <mergeCell ref="K30:K31"/>
    <mergeCell ref="E31:F31"/>
    <mergeCell ref="G31:H31"/>
    <mergeCell ref="I31:J31"/>
  </mergeCells>
  <phoneticPr fontId="2"/>
  <pageMargins left="0.31496062992125984" right="0.31496062992125984" top="0.74803149606299213" bottom="0.74803149606299213" header="0.31496062992125984" footer="0.31496062992125984"/>
  <pageSetup paperSize="9" scale="48" fitToHeight="0"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0cf6c74-911d-47d3-a539-ba5de9d9ffcc">
      <Terms xmlns="http://schemas.microsoft.com/office/infopath/2007/PartnerControls"/>
    </lcf76f155ced4ddcb4097134ff3c332f>
    <TaxCatchAll xmlns="760b83a3-2332-4289-8afd-4f33f8e7c1b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970EF9201D0A4398DDFEDB54240A32" ma:contentTypeVersion="19" ma:contentTypeDescription="Create a new document." ma:contentTypeScope="" ma:versionID="cc89c6ddd986ca5caf1432258a8f477c">
  <xsd:schema xmlns:xsd="http://www.w3.org/2001/XMLSchema" xmlns:xs="http://www.w3.org/2001/XMLSchema" xmlns:p="http://schemas.microsoft.com/office/2006/metadata/properties" xmlns:ns2="f0cf6c74-911d-47d3-a539-ba5de9d9ffcc" xmlns:ns3="760b83a3-2332-4289-8afd-4f33f8e7c1b0" targetNamespace="http://schemas.microsoft.com/office/2006/metadata/properties" ma:root="true" ma:fieldsID="17682cc71b748c362b47766afa622c6c" ns2:_="" ns3:_="">
    <xsd:import namespace="f0cf6c74-911d-47d3-a539-ba5de9d9ffcc"/>
    <xsd:import namespace="760b83a3-2332-4289-8afd-4f33f8e7c1b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cf6c74-911d-47d3-a539-ba5de9d9ff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3f0b306-5c8f-44a5-9de7-bb42e716fd3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0b83a3-2332-4289-8afd-4f33f8e7c1b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242c75f-6b70-44f8-94c2-9df35940b276}" ma:internalName="TaxCatchAll" ma:showField="CatchAllData" ma:web="760b83a3-2332-4289-8afd-4f33f8e7c1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EE1E3D-66EC-4062-AB03-B65C054869AE}">
  <ds:schemaRefs>
    <ds:schemaRef ds:uri="http://schemas.microsoft.com/sharepoint/v3/contenttype/forms"/>
  </ds:schemaRefs>
</ds:datastoreItem>
</file>

<file path=customXml/itemProps2.xml><?xml version="1.0" encoding="utf-8"?>
<ds:datastoreItem xmlns:ds="http://schemas.openxmlformats.org/officeDocument/2006/customXml" ds:itemID="{B3D39972-D038-4888-9737-D6B4E2E8E1AA}">
  <ds:schemaRefs>
    <ds:schemaRef ds:uri="http://purl.org/dc/terms/"/>
    <ds:schemaRef ds:uri="http://schemas.microsoft.com/office/2006/documentManagement/types"/>
    <ds:schemaRef ds:uri="http://purl.org/dc/elements/1.1/"/>
    <ds:schemaRef ds:uri="http://purl.org/dc/dcmitype/"/>
    <ds:schemaRef ds:uri="f0cf6c74-911d-47d3-a539-ba5de9d9ffcc"/>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760b83a3-2332-4289-8afd-4f33f8e7c1b0"/>
  </ds:schemaRefs>
</ds:datastoreItem>
</file>

<file path=customXml/itemProps3.xml><?xml version="1.0" encoding="utf-8"?>
<ds:datastoreItem xmlns:ds="http://schemas.openxmlformats.org/officeDocument/2006/customXml" ds:itemID="{B7A4F1D7-1017-482F-9516-9A4EDDCD1C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cf6c74-911d-47d3-a539-ba5de9d9ffcc"/>
    <ds:schemaRef ds:uri="760b83a3-2332-4289-8afd-4f33f8e7c1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 premise</vt:lpstr>
      <vt:lpstr> Test List</vt:lpstr>
      <vt:lpstr> summary</vt:lpstr>
      <vt:lpstr> →not translation</vt:lpstr>
      <vt:lpstr> ③ Communication</vt:lpstr>
      <vt:lpstr> ④ Control</vt:lpstr>
      <vt:lpstr> ① Renewable energy</vt:lpstr>
      <vt:lpstr> ① Renewable energy storage</vt:lpstr>
      <vt:lpstr> ② Grid charging</vt:lpstr>
      <vt:lpstr> ⑤ RPR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松下 詠一郎</dc:creator>
  <cp:keywords/>
  <dc:description/>
  <cp:lastModifiedBy>Zheng Khoon Chai</cp:lastModifiedBy>
  <cp:revision/>
  <dcterms:created xsi:type="dcterms:W3CDTF">2015-06-05T18:19:34Z</dcterms:created>
  <dcterms:modified xsi:type="dcterms:W3CDTF">2026-04-20T06:33:19Z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3eb61a-fd83-4407-9f6a-71e8749d46c1_Enabled">
    <vt:lpwstr>true</vt:lpwstr>
  </property>
  <property fmtid="{D5CDD505-2E9C-101B-9397-08002B2CF9AE}" pid="3" name="MSIP_Label_b23eb61a-fd83-4407-9f6a-71e8749d46c1_SetDate">
    <vt:lpwstr>2026-02-19T06:37:34Z</vt:lpwstr>
  </property>
  <property fmtid="{D5CDD505-2E9C-101B-9397-08002B2CF9AE}" pid="4" name="MSIP_Label_b23eb61a-fd83-4407-9f6a-71e8749d46c1_Method">
    <vt:lpwstr>Standard</vt:lpwstr>
  </property>
  <property fmtid="{D5CDD505-2E9C-101B-9397-08002B2CF9AE}" pid="5" name="MSIP_Label_b23eb61a-fd83-4407-9f6a-71e8749d46c1_Name">
    <vt:lpwstr>通用</vt:lpwstr>
  </property>
  <property fmtid="{D5CDD505-2E9C-101B-9397-08002B2CF9AE}" pid="6" name="MSIP_Label_b23eb61a-fd83-4407-9f6a-71e8749d46c1_SiteId">
    <vt:lpwstr>2151c7d1-a2f9-4fdb-9325-4d1ad1633565</vt:lpwstr>
  </property>
  <property fmtid="{D5CDD505-2E9C-101B-9397-08002B2CF9AE}" pid="7" name="MSIP_Label_b23eb61a-fd83-4407-9f6a-71e8749d46c1_ActionId">
    <vt:lpwstr>16ab1d1a-d394-4535-bdb6-be139d762389</vt:lpwstr>
  </property>
  <property fmtid="{D5CDD505-2E9C-101B-9397-08002B2CF9AE}" pid="8" name="MSIP_Label_b23eb61a-fd83-4407-9f6a-71e8749d46c1_ContentBits">
    <vt:lpwstr>0</vt:lpwstr>
  </property>
  <property fmtid="{D5CDD505-2E9C-101B-9397-08002B2CF9AE}" pid="9" name="MSIP_Label_b23eb61a-fd83-4407-9f6a-71e8749d46c1_Tag">
    <vt:lpwstr>10, 3, 0, 1</vt:lpwstr>
  </property>
  <property fmtid="{D5CDD505-2E9C-101B-9397-08002B2CF9AE}" pid="10" name="ContentTypeId">
    <vt:lpwstr>0x01010081970EF9201D0A4398DDFEDB54240A32</vt:lpwstr>
  </property>
  <property fmtid="{D5CDD505-2E9C-101B-9397-08002B2CF9AE}" pid="11" name="MediaServiceImageTags">
    <vt:lpwstr/>
  </property>
</Properties>
</file>